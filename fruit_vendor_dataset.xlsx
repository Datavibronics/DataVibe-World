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\Downloads\"/>
    </mc:Choice>
  </mc:AlternateContent>
  <bookViews>
    <workbookView xWindow="0" yWindow="0" windowWidth="20490" windowHeight="6900"/>
  </bookViews>
  <sheets>
    <sheet name="EDA_TABLES" sheetId="2" r:id="rId1"/>
    <sheet name="FRUITS_VENDOR DATASET" sheetId="1" r:id="rId2"/>
  </sheets>
  <definedNames>
    <definedName name="_xlnm._FilterDatabase" localSheetId="1" hidden="1">'FRUITS_VENDOR DATASET'!$A$1:$Q$401</definedName>
  </definedNames>
  <calcPr calcId="162913"/>
  <pivotCaches>
    <pivotCache cacheId="7" r:id="rId3"/>
  </pivotCaches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</calcChain>
</file>

<file path=xl/sharedStrings.xml><?xml version="1.0" encoding="utf-8"?>
<sst xmlns="http://schemas.openxmlformats.org/spreadsheetml/2006/main" count="2736" uniqueCount="62">
  <si>
    <t>Order_ID</t>
  </si>
  <si>
    <t>Order_Date</t>
  </si>
  <si>
    <t>Customer_ID</t>
  </si>
  <si>
    <t>Region</t>
  </si>
  <si>
    <t>City</t>
  </si>
  <si>
    <t>Product</t>
  </si>
  <si>
    <t>Category</t>
  </si>
  <si>
    <t>Quantity</t>
  </si>
  <si>
    <t>Unit_Price</t>
  </si>
  <si>
    <t>Discount</t>
  </si>
  <si>
    <t>Sales_Rep</t>
  </si>
  <si>
    <t>Channel</t>
  </si>
  <si>
    <t>Delivery_Time_Days</t>
  </si>
  <si>
    <t>Customer_Rating</t>
  </si>
  <si>
    <t>Revenue</t>
  </si>
  <si>
    <t>West</t>
  </si>
  <si>
    <t>South</t>
  </si>
  <si>
    <t>Midwest</t>
  </si>
  <si>
    <t>Northeast</t>
  </si>
  <si>
    <t>New York</t>
  </si>
  <si>
    <t>Miami</t>
  </si>
  <si>
    <t>Los Angeles</t>
  </si>
  <si>
    <t>Houston</t>
  </si>
  <si>
    <t>Seattle</t>
  </si>
  <si>
    <t>Chicago</t>
  </si>
  <si>
    <t>Mangoes</t>
  </si>
  <si>
    <t>Pineapples</t>
  </si>
  <si>
    <t>Grapes</t>
  </si>
  <si>
    <t>Oranges</t>
  </si>
  <si>
    <t>Apples</t>
  </si>
  <si>
    <t>Bananas</t>
  </si>
  <si>
    <t>Fresh</t>
  </si>
  <si>
    <t>Organic</t>
  </si>
  <si>
    <t>Imported</t>
  </si>
  <si>
    <t>Michael</t>
  </si>
  <si>
    <t>Sarah</t>
  </si>
  <si>
    <t>Emily</t>
  </si>
  <si>
    <t>John</t>
  </si>
  <si>
    <t>Retail</t>
  </si>
  <si>
    <t>Online</t>
  </si>
  <si>
    <t>Wholesale</t>
  </si>
  <si>
    <t>Month</t>
  </si>
  <si>
    <t>Year</t>
  </si>
  <si>
    <t>Row Labels</t>
  </si>
  <si>
    <t>Grand Total</t>
  </si>
  <si>
    <t>Sum of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</si>
  <si>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</si>
  <si>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</si>
  <si>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</si>
  <si>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</si>
  <si>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</si>
  <si>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</si>
  <si>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</si>
  <si>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</si>
  <si>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</si>
  <si>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</si>
  <si>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</si>
  <si>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</si>
  <si>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</t>
  </si>
  <si>
    <t>Average of Discount</t>
  </si>
  <si>
    <t>Average of Delivery_Time_Days</t>
  </si>
  <si>
    <t>Average of 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</si>
</sst>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6">
    <dxf>
      <numFmt numFmtId="19" formatCode="m/d/yyyy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" refreshedDate="46126.352562615742" createdVersion="6" refreshedVersion="6" minRefreshableVersion="3" recordCount="400">
  <cacheSource type="worksheet">
    <worksheetSource name="Fruits_Vendor"/>
  </cacheSource>
  <cacheFields count="17">
    <cacheField name="Order_ID" numFmtId="0">
      <sharedItems containsSemiMixedTypes="0" containsString="0" containsNumber="1" containsInteger="1" minValue="1001" maxValue="1400"/>
    </cacheField>
    <cacheField name="Order_Date" numFmtId="14">
      <sharedItems containsSemiMixedTypes="0" containsNonDate="0" containsDate="1" containsString="0" minDate="2023-01-01T00:00:00" maxDate="2024-02-05T00:00:00"/>
    </cacheField>
    <cacheField name="Month" numFmtId="1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14">
      <sharedItems/>
    </cacheField>
    <cacheField name="Customer_ID" numFmtId="0">
      <sharedItems containsSemiMixedTypes="0" containsString="0" containsNumber="1" containsInteger="1" minValue="2001" maxValue="2996"/>
    </cacheField>
    <cacheField name="Region" numFmtId="0">
      <sharedItems count="4">
        <s v="West"/>
        <s v="South"/>
        <s v="Midwest"/>
        <s v="Northeast"/>
      </sharedItems>
    </cacheField>
    <cacheField name="City" numFmtId="0">
      <sharedItems count="6">
        <s v="New York"/>
        <s v="Miami"/>
        <s v="Los Angeles"/>
        <s v="Houston"/>
        <s v="Seattle"/>
        <s v="Chicago"/>
      </sharedItems>
    </cacheField>
    <cacheField name="Product" numFmtId="0">
      <sharedItems count="6">
        <s v="Mangoes"/>
        <s v="Pineapples"/>
        <s v="Grapes"/>
        <s v="Oranges"/>
        <s v="Apples"/>
        <s v="Bananas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49"/>
    </cacheField>
    <cacheField name="Unit_Price" numFmtId="0">
      <sharedItems containsSemiMixedTypes="0" containsString="0" containsNumber="1" minValue="0.5" maxValue="4.9800000000000004"/>
    </cacheField>
    <cacheField name="Discount" numFmtId="0">
      <sharedItems containsSemiMixedTypes="0" containsString="0" containsNumber="1" minValue="0" maxValue="0.2"/>
    </cacheField>
    <cacheField name="Sales_Rep" numFmtId="0">
      <sharedItems count="4">
        <s v="Michael"/>
        <s v="Sarah"/>
        <s v="Emily"/>
        <s v="John"/>
      </sharedItems>
    </cacheField>
    <cacheField name="Channel" numFmtId="0">
      <sharedItems count="3">
        <s v="Retail"/>
        <s v="Online"/>
        <s v="Wholesale"/>
      </sharedItems>
    </cacheField>
    <cacheField name="Delivery_Time_Days" numFmtId="0">
      <sharedItems containsSemiMixedTypes="0" containsString="0" containsNumber="1" containsInteger="1" minValue="1" maxValue="6"/>
    </cacheField>
    <cacheField name="Customer_Rating" numFmtId="0">
      <sharedItems containsSemiMixedTypes="0" containsString="0" containsNumber="1" minValue="2.5" maxValue="5"/>
    </cacheField>
    <cacheField name="Revenue" numFmtId="0">
      <sharedItems containsSemiMixedTypes="0" containsString="0" containsNumber="1" minValue="0.60720000000000007" maxValue="211.612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n v="1001"/>
    <d v="2023-01-01T00:00:00"/>
    <x v="0"/>
    <s v="2023"/>
    <n v="2102"/>
    <x v="0"/>
    <x v="0"/>
    <x v="0"/>
    <s v="Fresh"/>
    <n v="17"/>
    <n v="4.63"/>
    <n v="0.04"/>
    <x v="0"/>
    <x v="0"/>
    <n v="5"/>
    <n v="3.3"/>
    <n v="75.561599999999984"/>
  </r>
  <r>
    <n v="1002"/>
    <d v="2023-01-02T00:00:00"/>
    <x v="0"/>
    <s v="2023"/>
    <n v="2435"/>
    <x v="1"/>
    <x v="0"/>
    <x v="1"/>
    <s v="Fresh"/>
    <n v="10"/>
    <n v="3.2"/>
    <n v="0.2"/>
    <x v="0"/>
    <x v="1"/>
    <n v="1"/>
    <n v="3.7"/>
    <n v="25.6"/>
  </r>
  <r>
    <n v="1003"/>
    <d v="2023-01-03T00:00:00"/>
    <x v="0"/>
    <s v="2023"/>
    <n v="2860"/>
    <x v="0"/>
    <x v="1"/>
    <x v="1"/>
    <s v="Organic"/>
    <n v="1"/>
    <n v="4.7300000000000004"/>
    <n v="0.15"/>
    <x v="1"/>
    <x v="2"/>
    <n v="5"/>
    <n v="2.8"/>
    <n v="4.0205000000000002"/>
  </r>
  <r>
    <n v="1004"/>
    <d v="2023-01-04T00:00:00"/>
    <x v="0"/>
    <s v="2023"/>
    <n v="2270"/>
    <x v="0"/>
    <x v="2"/>
    <x v="2"/>
    <s v="Imported"/>
    <n v="22"/>
    <n v="4.22"/>
    <n v="0.11"/>
    <x v="1"/>
    <x v="1"/>
    <n v="2"/>
    <n v="4.9000000000000004"/>
    <n v="82.627599999999987"/>
  </r>
  <r>
    <n v="1005"/>
    <d v="2023-01-05T00:00:00"/>
    <x v="0"/>
    <s v="2023"/>
    <n v="2106"/>
    <x v="2"/>
    <x v="3"/>
    <x v="1"/>
    <s v="Fresh"/>
    <n v="26"/>
    <n v="3.5"/>
    <n v="0.04"/>
    <x v="2"/>
    <x v="1"/>
    <n v="2"/>
    <n v="4.3"/>
    <n v="87.36"/>
  </r>
  <r>
    <n v="1006"/>
    <d v="2023-01-06T00:00:00"/>
    <x v="0"/>
    <s v="2023"/>
    <n v="2071"/>
    <x v="3"/>
    <x v="0"/>
    <x v="3"/>
    <s v="Imported"/>
    <n v="18"/>
    <n v="3.1"/>
    <n v="0.01"/>
    <x v="1"/>
    <x v="0"/>
    <n v="4"/>
    <n v="4.9000000000000004"/>
    <n v="55.241999999999997"/>
  </r>
  <r>
    <n v="1007"/>
    <d v="2023-01-07T00:00:00"/>
    <x v="0"/>
    <s v="2023"/>
    <n v="2700"/>
    <x v="2"/>
    <x v="2"/>
    <x v="1"/>
    <s v="Organic"/>
    <n v="14"/>
    <n v="2.0699999999999998"/>
    <n v="0.06"/>
    <x v="2"/>
    <x v="0"/>
    <n v="5"/>
    <n v="3.1"/>
    <n v="27.241199999999999"/>
  </r>
  <r>
    <n v="1008"/>
    <d v="2023-01-08T00:00:00"/>
    <x v="0"/>
    <s v="2023"/>
    <n v="2020"/>
    <x v="2"/>
    <x v="0"/>
    <x v="1"/>
    <s v="Organic"/>
    <n v="47"/>
    <n v="1.22"/>
    <n v="0.15"/>
    <x v="0"/>
    <x v="1"/>
    <n v="4"/>
    <n v="4.7"/>
    <n v="48.738999999999997"/>
  </r>
  <r>
    <n v="1009"/>
    <d v="2023-01-09T00:00:00"/>
    <x v="0"/>
    <s v="2023"/>
    <n v="2614"/>
    <x v="2"/>
    <x v="4"/>
    <x v="1"/>
    <s v="Fresh"/>
    <n v="29"/>
    <n v="3.22"/>
    <n v="0.05"/>
    <x v="0"/>
    <x v="2"/>
    <n v="4"/>
    <n v="4.5"/>
    <n v="88.710999999999999"/>
  </r>
  <r>
    <n v="1010"/>
    <d v="2023-01-10T00:00:00"/>
    <x v="0"/>
    <s v="2023"/>
    <n v="2121"/>
    <x v="2"/>
    <x v="0"/>
    <x v="4"/>
    <s v="Organic"/>
    <n v="12"/>
    <n v="1.93"/>
    <n v="0.11"/>
    <x v="3"/>
    <x v="2"/>
    <n v="2"/>
    <n v="4.2"/>
    <n v="20.612400000000001"/>
  </r>
  <r>
    <n v="1011"/>
    <d v="2023-01-11T00:00:00"/>
    <x v="0"/>
    <s v="2023"/>
    <n v="2466"/>
    <x v="1"/>
    <x v="3"/>
    <x v="3"/>
    <s v="Fresh"/>
    <n v="36"/>
    <n v="4.4000000000000004"/>
    <n v="0.15"/>
    <x v="0"/>
    <x v="0"/>
    <n v="4"/>
    <n v="4.0999999999999996"/>
    <n v="134.63999999999999"/>
  </r>
  <r>
    <n v="1012"/>
    <d v="2023-01-12T00:00:00"/>
    <x v="0"/>
    <s v="2023"/>
    <n v="2214"/>
    <x v="3"/>
    <x v="5"/>
    <x v="3"/>
    <s v="Organic"/>
    <n v="35"/>
    <n v="4.97"/>
    <n v="0.02"/>
    <x v="2"/>
    <x v="2"/>
    <n v="2"/>
    <n v="3.3"/>
    <n v="170.471"/>
  </r>
  <r>
    <n v="1013"/>
    <d v="2023-01-13T00:00:00"/>
    <x v="0"/>
    <s v="2023"/>
    <n v="2330"/>
    <x v="0"/>
    <x v="1"/>
    <x v="0"/>
    <s v="Organic"/>
    <n v="12"/>
    <n v="3.89"/>
    <n v="0.14000000000000001"/>
    <x v="1"/>
    <x v="1"/>
    <n v="1"/>
    <n v="4.5"/>
    <n v="40.144799999999996"/>
  </r>
  <r>
    <n v="1014"/>
    <d v="2023-01-14T00:00:00"/>
    <x v="0"/>
    <s v="2023"/>
    <n v="2458"/>
    <x v="0"/>
    <x v="1"/>
    <x v="2"/>
    <s v="Fresh"/>
    <n v="7"/>
    <n v="0.91"/>
    <n v="0.02"/>
    <x v="3"/>
    <x v="0"/>
    <n v="5"/>
    <n v="3.8"/>
    <n v="6.2426000000000004"/>
  </r>
  <r>
    <n v="1015"/>
    <d v="2023-01-15T00:00:00"/>
    <x v="0"/>
    <s v="2023"/>
    <n v="2087"/>
    <x v="3"/>
    <x v="3"/>
    <x v="1"/>
    <s v="Fresh"/>
    <n v="29"/>
    <n v="1.8"/>
    <n v="0.19"/>
    <x v="2"/>
    <x v="1"/>
    <n v="4"/>
    <n v="2.7"/>
    <n v="42.281999999999996"/>
  </r>
  <r>
    <n v="1016"/>
    <d v="2023-01-16T00:00:00"/>
    <x v="0"/>
    <s v="2023"/>
    <n v="2372"/>
    <x v="0"/>
    <x v="0"/>
    <x v="5"/>
    <s v="Fresh"/>
    <n v="11"/>
    <n v="0.99"/>
    <n v="0.1"/>
    <x v="1"/>
    <x v="0"/>
    <n v="2"/>
    <n v="3.3"/>
    <n v="9.8010000000000002"/>
  </r>
  <r>
    <n v="1017"/>
    <d v="2023-01-17T00:00:00"/>
    <x v="0"/>
    <s v="2023"/>
    <n v="2099"/>
    <x v="3"/>
    <x v="2"/>
    <x v="2"/>
    <s v="Organic"/>
    <n v="33"/>
    <n v="3.43"/>
    <n v="0.03"/>
    <x v="3"/>
    <x v="0"/>
    <n v="3"/>
    <n v="4.8"/>
    <n v="109.79430000000001"/>
  </r>
  <r>
    <n v="1018"/>
    <d v="2023-01-18T00:00:00"/>
    <x v="0"/>
    <s v="2023"/>
    <n v="2871"/>
    <x v="0"/>
    <x v="0"/>
    <x v="2"/>
    <s v="Organic"/>
    <n v="6"/>
    <n v="3.94"/>
    <n v="7.0000000000000007E-2"/>
    <x v="0"/>
    <x v="0"/>
    <n v="4"/>
    <n v="4.5999999999999996"/>
    <n v="21.985199999999999"/>
  </r>
  <r>
    <n v="1019"/>
    <d v="2023-01-19T00:00:00"/>
    <x v="0"/>
    <s v="2023"/>
    <n v="2663"/>
    <x v="2"/>
    <x v="3"/>
    <x v="3"/>
    <s v="Imported"/>
    <n v="47"/>
    <n v="4.67"/>
    <n v="0.08"/>
    <x v="2"/>
    <x v="0"/>
    <n v="6"/>
    <n v="5"/>
    <n v="201.9308"/>
  </r>
  <r>
    <n v="1020"/>
    <d v="2023-01-20T00:00:00"/>
    <x v="0"/>
    <s v="2023"/>
    <n v="2130"/>
    <x v="0"/>
    <x v="1"/>
    <x v="2"/>
    <s v="Fresh"/>
    <n v="15"/>
    <n v="2.4700000000000002"/>
    <n v="0.15"/>
    <x v="1"/>
    <x v="2"/>
    <n v="1"/>
    <n v="4.0999999999999996"/>
    <n v="31.4925"/>
  </r>
  <r>
    <n v="1021"/>
    <d v="2023-01-21T00:00:00"/>
    <x v="0"/>
    <s v="2023"/>
    <n v="2661"/>
    <x v="3"/>
    <x v="0"/>
    <x v="1"/>
    <s v="Organic"/>
    <n v="32"/>
    <n v="4.5599999999999996"/>
    <n v="0.15"/>
    <x v="3"/>
    <x v="1"/>
    <n v="1"/>
    <n v="3.1"/>
    <n v="124.032"/>
  </r>
  <r>
    <n v="1022"/>
    <d v="2023-01-22T00:00:00"/>
    <x v="0"/>
    <s v="2023"/>
    <n v="2308"/>
    <x v="3"/>
    <x v="1"/>
    <x v="1"/>
    <s v="Organic"/>
    <n v="11"/>
    <n v="4.45"/>
    <n v="0.12"/>
    <x v="3"/>
    <x v="1"/>
    <n v="3"/>
    <n v="2.9"/>
    <n v="43.076000000000001"/>
  </r>
  <r>
    <n v="1023"/>
    <d v="2023-01-23T00:00:00"/>
    <x v="0"/>
    <s v="2023"/>
    <n v="2769"/>
    <x v="3"/>
    <x v="2"/>
    <x v="4"/>
    <s v="Fresh"/>
    <n v="23"/>
    <n v="1.93"/>
    <n v="0.02"/>
    <x v="0"/>
    <x v="1"/>
    <n v="2"/>
    <n v="3"/>
    <n v="43.502200000000002"/>
  </r>
  <r>
    <n v="1024"/>
    <d v="2023-01-24T00:00:00"/>
    <x v="0"/>
    <s v="2023"/>
    <n v="2343"/>
    <x v="3"/>
    <x v="1"/>
    <x v="1"/>
    <s v="Imported"/>
    <n v="26"/>
    <n v="4.41"/>
    <n v="0.03"/>
    <x v="1"/>
    <x v="0"/>
    <n v="4"/>
    <n v="2.5"/>
    <n v="111.22020000000001"/>
  </r>
  <r>
    <n v="1025"/>
    <d v="2023-01-25T00:00:00"/>
    <x v="0"/>
    <s v="2023"/>
    <n v="2491"/>
    <x v="3"/>
    <x v="1"/>
    <x v="1"/>
    <s v="Fresh"/>
    <n v="34"/>
    <n v="2.19"/>
    <n v="0.02"/>
    <x v="0"/>
    <x v="2"/>
    <n v="2"/>
    <n v="3.5"/>
    <n v="72.970799999999997"/>
  </r>
  <r>
    <n v="1026"/>
    <d v="2023-01-26T00:00:00"/>
    <x v="0"/>
    <s v="2023"/>
    <n v="2413"/>
    <x v="1"/>
    <x v="5"/>
    <x v="3"/>
    <s v="Imported"/>
    <n v="46"/>
    <n v="1.84"/>
    <n v="0.12"/>
    <x v="0"/>
    <x v="1"/>
    <n v="1"/>
    <n v="3"/>
    <n v="74.483199999999997"/>
  </r>
  <r>
    <n v="1027"/>
    <d v="2023-01-27T00:00:00"/>
    <x v="0"/>
    <s v="2023"/>
    <n v="2805"/>
    <x v="1"/>
    <x v="5"/>
    <x v="1"/>
    <s v="Organic"/>
    <n v="34"/>
    <n v="3.42"/>
    <n v="0.18"/>
    <x v="1"/>
    <x v="2"/>
    <n v="2"/>
    <n v="3.5"/>
    <n v="95.349600000000009"/>
  </r>
  <r>
    <n v="1028"/>
    <d v="2023-01-28T00:00:00"/>
    <x v="0"/>
    <s v="2023"/>
    <n v="2385"/>
    <x v="0"/>
    <x v="4"/>
    <x v="4"/>
    <s v="Imported"/>
    <n v="29"/>
    <n v="1.98"/>
    <n v="0.09"/>
    <x v="1"/>
    <x v="0"/>
    <n v="1"/>
    <n v="4.8"/>
    <n v="52.252200000000002"/>
  </r>
  <r>
    <n v="1029"/>
    <d v="2023-01-29T00:00:00"/>
    <x v="0"/>
    <s v="2023"/>
    <n v="2191"/>
    <x v="3"/>
    <x v="5"/>
    <x v="5"/>
    <s v="Organic"/>
    <n v="4"/>
    <n v="3.34"/>
    <n v="0.03"/>
    <x v="1"/>
    <x v="1"/>
    <n v="2"/>
    <n v="3.6"/>
    <n v="12.959199999999999"/>
  </r>
  <r>
    <n v="1030"/>
    <d v="2023-01-30T00:00:00"/>
    <x v="0"/>
    <s v="2023"/>
    <n v="2955"/>
    <x v="0"/>
    <x v="1"/>
    <x v="3"/>
    <s v="Fresh"/>
    <n v="17"/>
    <n v="3.24"/>
    <n v="0.11"/>
    <x v="2"/>
    <x v="2"/>
    <n v="3"/>
    <n v="4.7"/>
    <n v="49.021200000000007"/>
  </r>
  <r>
    <n v="1031"/>
    <d v="2023-01-31T00:00:00"/>
    <x v="0"/>
    <s v="2023"/>
    <n v="2276"/>
    <x v="3"/>
    <x v="3"/>
    <x v="5"/>
    <s v="Fresh"/>
    <n v="35"/>
    <n v="3.04"/>
    <n v="0.16"/>
    <x v="1"/>
    <x v="0"/>
    <n v="5"/>
    <n v="4"/>
    <n v="89.376000000000005"/>
  </r>
  <r>
    <n v="1032"/>
    <d v="2023-02-01T00:00:00"/>
    <x v="1"/>
    <s v="2023"/>
    <n v="2160"/>
    <x v="3"/>
    <x v="1"/>
    <x v="3"/>
    <s v="Fresh"/>
    <n v="13"/>
    <n v="2.21"/>
    <n v="0.15"/>
    <x v="3"/>
    <x v="2"/>
    <n v="3"/>
    <n v="3.1"/>
    <n v="24.420500000000001"/>
  </r>
  <r>
    <n v="1033"/>
    <d v="2023-02-02T00:00:00"/>
    <x v="1"/>
    <s v="2023"/>
    <n v="2459"/>
    <x v="1"/>
    <x v="3"/>
    <x v="0"/>
    <s v="Imported"/>
    <n v="41"/>
    <n v="2.97"/>
    <n v="0.18"/>
    <x v="0"/>
    <x v="1"/>
    <n v="3"/>
    <n v="3.4"/>
    <n v="99.851400000000012"/>
  </r>
  <r>
    <n v="1034"/>
    <d v="2023-02-03T00:00:00"/>
    <x v="1"/>
    <s v="2023"/>
    <n v="2313"/>
    <x v="1"/>
    <x v="3"/>
    <x v="2"/>
    <s v="Organic"/>
    <n v="39"/>
    <n v="3.18"/>
    <n v="0.06"/>
    <x v="2"/>
    <x v="1"/>
    <n v="5"/>
    <n v="2.7"/>
    <n v="116.5788"/>
  </r>
  <r>
    <n v="1035"/>
    <d v="2023-02-04T00:00:00"/>
    <x v="1"/>
    <s v="2023"/>
    <n v="2021"/>
    <x v="2"/>
    <x v="5"/>
    <x v="0"/>
    <s v="Fresh"/>
    <n v="15"/>
    <n v="2.96"/>
    <n v="0.04"/>
    <x v="1"/>
    <x v="0"/>
    <n v="5"/>
    <n v="3.3"/>
    <n v="42.624000000000002"/>
  </r>
  <r>
    <n v="1036"/>
    <d v="2023-02-05T00:00:00"/>
    <x v="1"/>
    <s v="2023"/>
    <n v="2252"/>
    <x v="1"/>
    <x v="0"/>
    <x v="1"/>
    <s v="Fresh"/>
    <n v="29"/>
    <n v="2.5"/>
    <n v="0.18"/>
    <x v="2"/>
    <x v="0"/>
    <n v="4"/>
    <n v="4.2"/>
    <n v="59.45"/>
  </r>
  <r>
    <n v="1037"/>
    <d v="2023-02-06T00:00:00"/>
    <x v="1"/>
    <s v="2023"/>
    <n v="2747"/>
    <x v="2"/>
    <x v="2"/>
    <x v="5"/>
    <s v="Organic"/>
    <n v="29"/>
    <n v="0.56999999999999995"/>
    <n v="0.13"/>
    <x v="1"/>
    <x v="0"/>
    <n v="4"/>
    <n v="2.7"/>
    <n v="14.3811"/>
  </r>
  <r>
    <n v="1038"/>
    <d v="2023-02-07T00:00:00"/>
    <x v="1"/>
    <s v="2023"/>
    <n v="2856"/>
    <x v="2"/>
    <x v="5"/>
    <x v="1"/>
    <s v="Fresh"/>
    <n v="11"/>
    <n v="3.14"/>
    <n v="0.06"/>
    <x v="2"/>
    <x v="2"/>
    <n v="3"/>
    <n v="3"/>
    <n v="32.467599999999997"/>
  </r>
  <r>
    <n v="1039"/>
    <d v="2023-02-08T00:00:00"/>
    <x v="1"/>
    <s v="2023"/>
    <n v="2560"/>
    <x v="2"/>
    <x v="5"/>
    <x v="2"/>
    <s v="Organic"/>
    <n v="32"/>
    <n v="1.26"/>
    <n v="0.15"/>
    <x v="0"/>
    <x v="2"/>
    <n v="3"/>
    <n v="3.5"/>
    <n v="34.271999999999998"/>
  </r>
  <r>
    <n v="1040"/>
    <d v="2023-02-09T00:00:00"/>
    <x v="1"/>
    <s v="2023"/>
    <n v="2474"/>
    <x v="2"/>
    <x v="0"/>
    <x v="3"/>
    <s v="Organic"/>
    <n v="2"/>
    <n v="3.39"/>
    <n v="0.16"/>
    <x v="0"/>
    <x v="2"/>
    <n v="1"/>
    <n v="5"/>
    <n v="5.6951999999999998"/>
  </r>
  <r>
    <n v="1041"/>
    <d v="2023-02-10T00:00:00"/>
    <x v="1"/>
    <s v="2023"/>
    <n v="2058"/>
    <x v="2"/>
    <x v="2"/>
    <x v="2"/>
    <s v="Organic"/>
    <n v="47"/>
    <n v="3.92"/>
    <n v="0.12"/>
    <x v="3"/>
    <x v="0"/>
    <n v="1"/>
    <n v="4.5"/>
    <n v="162.13120000000001"/>
  </r>
  <r>
    <n v="1042"/>
    <d v="2023-02-11T00:00:00"/>
    <x v="1"/>
    <s v="2023"/>
    <n v="2510"/>
    <x v="0"/>
    <x v="1"/>
    <x v="4"/>
    <s v="Organic"/>
    <n v="14"/>
    <n v="2.75"/>
    <n v="0.14000000000000001"/>
    <x v="3"/>
    <x v="1"/>
    <n v="4"/>
    <n v="4.3"/>
    <n v="33.11"/>
  </r>
  <r>
    <n v="1043"/>
    <d v="2023-02-12T00:00:00"/>
    <x v="1"/>
    <s v="2023"/>
    <n v="2681"/>
    <x v="1"/>
    <x v="4"/>
    <x v="2"/>
    <s v="Organic"/>
    <n v="20"/>
    <n v="2.94"/>
    <n v="0.08"/>
    <x v="1"/>
    <x v="1"/>
    <n v="6"/>
    <n v="2.8"/>
    <n v="54.095999999999997"/>
  </r>
  <r>
    <n v="1044"/>
    <d v="2023-02-13T00:00:00"/>
    <x v="1"/>
    <s v="2023"/>
    <n v="2475"/>
    <x v="2"/>
    <x v="4"/>
    <x v="4"/>
    <s v="Imported"/>
    <n v="22"/>
    <n v="4.78"/>
    <n v="0.11"/>
    <x v="0"/>
    <x v="2"/>
    <n v="6"/>
    <n v="4.5"/>
    <n v="93.592400000000012"/>
  </r>
  <r>
    <n v="1045"/>
    <d v="2023-02-14T00:00:00"/>
    <x v="1"/>
    <s v="2023"/>
    <n v="2699"/>
    <x v="3"/>
    <x v="1"/>
    <x v="2"/>
    <s v="Fresh"/>
    <n v="11"/>
    <n v="4.3099999999999996"/>
    <n v="0.1"/>
    <x v="2"/>
    <x v="2"/>
    <n v="4"/>
    <n v="4.5"/>
    <n v="42.668999999999997"/>
  </r>
  <r>
    <n v="1046"/>
    <d v="2023-02-15T00:00:00"/>
    <x v="1"/>
    <s v="2023"/>
    <n v="2975"/>
    <x v="1"/>
    <x v="5"/>
    <x v="4"/>
    <s v="Imported"/>
    <n v="27"/>
    <n v="4.6100000000000003"/>
    <n v="0.17"/>
    <x v="2"/>
    <x v="1"/>
    <n v="1"/>
    <n v="4"/>
    <n v="103.31010000000001"/>
  </r>
  <r>
    <n v="1047"/>
    <d v="2023-02-16T00:00:00"/>
    <x v="1"/>
    <s v="2023"/>
    <n v="2782"/>
    <x v="1"/>
    <x v="2"/>
    <x v="5"/>
    <s v="Fresh"/>
    <n v="3"/>
    <n v="4.16"/>
    <n v="0.17"/>
    <x v="2"/>
    <x v="1"/>
    <n v="1"/>
    <n v="5"/>
    <n v="10.3584"/>
  </r>
  <r>
    <n v="1048"/>
    <d v="2023-02-17T00:00:00"/>
    <x v="1"/>
    <s v="2023"/>
    <n v="2189"/>
    <x v="2"/>
    <x v="5"/>
    <x v="1"/>
    <s v="Imported"/>
    <n v="17"/>
    <n v="0.99"/>
    <n v="0.17"/>
    <x v="3"/>
    <x v="2"/>
    <n v="6"/>
    <n v="3.3"/>
    <n v="13.9689"/>
  </r>
  <r>
    <n v="1049"/>
    <d v="2023-02-18T00:00:00"/>
    <x v="1"/>
    <s v="2023"/>
    <n v="2957"/>
    <x v="0"/>
    <x v="3"/>
    <x v="1"/>
    <s v="Organic"/>
    <n v="44"/>
    <n v="1.17"/>
    <n v="0"/>
    <x v="2"/>
    <x v="2"/>
    <n v="2"/>
    <n v="4.9000000000000004"/>
    <n v="51.48"/>
  </r>
  <r>
    <n v="1050"/>
    <d v="2023-02-19T00:00:00"/>
    <x v="1"/>
    <s v="2023"/>
    <n v="2686"/>
    <x v="2"/>
    <x v="5"/>
    <x v="0"/>
    <s v="Fresh"/>
    <n v="28"/>
    <n v="2.87"/>
    <n v="0.15"/>
    <x v="3"/>
    <x v="1"/>
    <n v="2"/>
    <n v="4.8"/>
    <n v="68.305999999999997"/>
  </r>
  <r>
    <n v="1051"/>
    <d v="2023-02-20T00:00:00"/>
    <x v="1"/>
    <s v="2023"/>
    <n v="2957"/>
    <x v="0"/>
    <x v="5"/>
    <x v="1"/>
    <s v="Fresh"/>
    <n v="29"/>
    <n v="1.61"/>
    <n v="0.15"/>
    <x v="3"/>
    <x v="0"/>
    <n v="1"/>
    <n v="2.5"/>
    <n v="39.686500000000002"/>
  </r>
  <r>
    <n v="1052"/>
    <d v="2023-02-21T00:00:00"/>
    <x v="1"/>
    <s v="2023"/>
    <n v="2562"/>
    <x v="3"/>
    <x v="1"/>
    <x v="3"/>
    <s v="Imported"/>
    <n v="21"/>
    <n v="2.65"/>
    <n v="0.14000000000000001"/>
    <x v="1"/>
    <x v="2"/>
    <n v="2"/>
    <n v="3.6"/>
    <n v="47.858999999999988"/>
  </r>
  <r>
    <n v="1053"/>
    <d v="2023-02-22T00:00:00"/>
    <x v="1"/>
    <s v="2023"/>
    <n v="2875"/>
    <x v="1"/>
    <x v="1"/>
    <x v="2"/>
    <s v="Imported"/>
    <n v="47"/>
    <n v="2.27"/>
    <n v="0.15"/>
    <x v="2"/>
    <x v="1"/>
    <n v="5"/>
    <n v="4.9000000000000004"/>
    <n v="90.686499999999995"/>
  </r>
  <r>
    <n v="1054"/>
    <d v="2023-02-23T00:00:00"/>
    <x v="1"/>
    <s v="2023"/>
    <n v="2566"/>
    <x v="3"/>
    <x v="1"/>
    <x v="0"/>
    <s v="Fresh"/>
    <n v="16"/>
    <n v="2.97"/>
    <n v="0.17"/>
    <x v="2"/>
    <x v="1"/>
    <n v="4"/>
    <n v="2.8"/>
    <n v="39.441600000000001"/>
  </r>
  <r>
    <n v="1055"/>
    <d v="2023-02-24T00:00:00"/>
    <x v="1"/>
    <s v="2023"/>
    <n v="2243"/>
    <x v="0"/>
    <x v="4"/>
    <x v="3"/>
    <s v="Imported"/>
    <n v="37"/>
    <n v="3.86"/>
    <n v="0.09"/>
    <x v="0"/>
    <x v="1"/>
    <n v="4"/>
    <n v="3.9"/>
    <n v="129.96619999999999"/>
  </r>
  <r>
    <n v="1056"/>
    <d v="2023-02-25T00:00:00"/>
    <x v="1"/>
    <s v="2023"/>
    <n v="2831"/>
    <x v="0"/>
    <x v="3"/>
    <x v="3"/>
    <s v="Imported"/>
    <n v="20"/>
    <n v="3.72"/>
    <n v="0.1"/>
    <x v="1"/>
    <x v="1"/>
    <n v="1"/>
    <n v="4.9000000000000004"/>
    <n v="66.960000000000008"/>
  </r>
  <r>
    <n v="1057"/>
    <d v="2023-02-26T00:00:00"/>
    <x v="1"/>
    <s v="2023"/>
    <n v="2504"/>
    <x v="3"/>
    <x v="1"/>
    <x v="4"/>
    <s v="Imported"/>
    <n v="6"/>
    <n v="2.85"/>
    <n v="0.02"/>
    <x v="0"/>
    <x v="0"/>
    <n v="3"/>
    <n v="3.9"/>
    <n v="16.757999999999999"/>
  </r>
  <r>
    <n v="1058"/>
    <d v="2023-02-27T00:00:00"/>
    <x v="1"/>
    <s v="2023"/>
    <n v="2130"/>
    <x v="0"/>
    <x v="2"/>
    <x v="1"/>
    <s v="Organic"/>
    <n v="19"/>
    <n v="4.2"/>
    <n v="0.08"/>
    <x v="1"/>
    <x v="1"/>
    <n v="6"/>
    <n v="3"/>
    <n v="73.415999999999997"/>
  </r>
  <r>
    <n v="1059"/>
    <d v="2023-02-28T00:00:00"/>
    <x v="1"/>
    <s v="2023"/>
    <n v="2484"/>
    <x v="3"/>
    <x v="4"/>
    <x v="5"/>
    <s v="Organic"/>
    <n v="5"/>
    <n v="2.44"/>
    <n v="0.13"/>
    <x v="2"/>
    <x v="2"/>
    <n v="1"/>
    <n v="4"/>
    <n v="10.614000000000001"/>
  </r>
  <r>
    <n v="1060"/>
    <d v="2023-03-01T00:00:00"/>
    <x v="2"/>
    <s v="2023"/>
    <n v="2818"/>
    <x v="1"/>
    <x v="0"/>
    <x v="5"/>
    <s v="Imported"/>
    <n v="3"/>
    <n v="4.54"/>
    <n v="0.16"/>
    <x v="3"/>
    <x v="0"/>
    <n v="2"/>
    <n v="3"/>
    <n v="11.440799999999999"/>
  </r>
  <r>
    <n v="1061"/>
    <d v="2023-03-02T00:00:00"/>
    <x v="2"/>
    <s v="2023"/>
    <n v="2646"/>
    <x v="3"/>
    <x v="2"/>
    <x v="0"/>
    <s v="Imported"/>
    <n v="1"/>
    <n v="0.82"/>
    <n v="0.04"/>
    <x v="3"/>
    <x v="1"/>
    <n v="6"/>
    <n v="3.8"/>
    <n v="0.7871999999999999"/>
  </r>
  <r>
    <n v="1062"/>
    <d v="2023-03-03T00:00:00"/>
    <x v="2"/>
    <s v="2023"/>
    <n v="2020"/>
    <x v="1"/>
    <x v="2"/>
    <x v="5"/>
    <s v="Organic"/>
    <n v="38"/>
    <n v="4.8"/>
    <n v="0.03"/>
    <x v="3"/>
    <x v="0"/>
    <n v="3"/>
    <n v="2.7"/>
    <n v="176.928"/>
  </r>
  <r>
    <n v="1063"/>
    <d v="2023-03-04T00:00:00"/>
    <x v="2"/>
    <s v="2023"/>
    <n v="2840"/>
    <x v="3"/>
    <x v="1"/>
    <x v="2"/>
    <s v="Organic"/>
    <n v="15"/>
    <n v="3.45"/>
    <n v="0.13"/>
    <x v="3"/>
    <x v="2"/>
    <n v="2"/>
    <n v="4"/>
    <n v="45.022500000000001"/>
  </r>
  <r>
    <n v="1064"/>
    <d v="2023-03-05T00:00:00"/>
    <x v="2"/>
    <s v="2023"/>
    <n v="2166"/>
    <x v="0"/>
    <x v="0"/>
    <x v="5"/>
    <s v="Fresh"/>
    <n v="34"/>
    <n v="2.21"/>
    <n v="0"/>
    <x v="3"/>
    <x v="1"/>
    <n v="5"/>
    <n v="3.8"/>
    <n v="75.14"/>
  </r>
  <r>
    <n v="1065"/>
    <d v="2023-03-06T00:00:00"/>
    <x v="2"/>
    <s v="2023"/>
    <n v="2273"/>
    <x v="3"/>
    <x v="0"/>
    <x v="0"/>
    <s v="Fresh"/>
    <n v="35"/>
    <n v="1.39"/>
    <n v="0.04"/>
    <x v="0"/>
    <x v="2"/>
    <n v="2"/>
    <n v="4.4000000000000004"/>
    <n v="46.703999999999994"/>
  </r>
  <r>
    <n v="1066"/>
    <d v="2023-03-07T00:00:00"/>
    <x v="2"/>
    <s v="2023"/>
    <n v="2387"/>
    <x v="0"/>
    <x v="4"/>
    <x v="5"/>
    <s v="Organic"/>
    <n v="49"/>
    <n v="2.66"/>
    <n v="0.01"/>
    <x v="1"/>
    <x v="1"/>
    <n v="5"/>
    <n v="4.0999999999999996"/>
    <n v="129.03659999999999"/>
  </r>
  <r>
    <n v="1067"/>
    <d v="2023-03-08T00:00:00"/>
    <x v="2"/>
    <s v="2023"/>
    <n v="2600"/>
    <x v="3"/>
    <x v="0"/>
    <x v="2"/>
    <s v="Imported"/>
    <n v="25"/>
    <n v="1.38"/>
    <n v="0.03"/>
    <x v="2"/>
    <x v="1"/>
    <n v="6"/>
    <n v="3.9"/>
    <n v="33.465000000000003"/>
  </r>
  <r>
    <n v="1068"/>
    <d v="2023-03-09T00:00:00"/>
    <x v="2"/>
    <s v="2023"/>
    <n v="2315"/>
    <x v="3"/>
    <x v="3"/>
    <x v="4"/>
    <s v="Imported"/>
    <n v="24"/>
    <n v="1.25"/>
    <n v="0.04"/>
    <x v="0"/>
    <x v="1"/>
    <n v="5"/>
    <n v="4.2"/>
    <n v="28.8"/>
  </r>
  <r>
    <n v="1069"/>
    <d v="2023-03-10T00:00:00"/>
    <x v="2"/>
    <s v="2023"/>
    <n v="2013"/>
    <x v="2"/>
    <x v="1"/>
    <x v="0"/>
    <s v="Imported"/>
    <n v="12"/>
    <n v="3.28"/>
    <n v="0.08"/>
    <x v="1"/>
    <x v="1"/>
    <n v="6"/>
    <n v="2.9"/>
    <n v="36.211199999999998"/>
  </r>
  <r>
    <n v="1070"/>
    <d v="2023-03-11T00:00:00"/>
    <x v="2"/>
    <s v="2023"/>
    <n v="2241"/>
    <x v="0"/>
    <x v="0"/>
    <x v="4"/>
    <s v="Imported"/>
    <n v="18"/>
    <n v="2.85"/>
    <n v="0.08"/>
    <x v="3"/>
    <x v="1"/>
    <n v="6"/>
    <n v="4"/>
    <n v="47.196000000000012"/>
  </r>
  <r>
    <n v="1071"/>
    <d v="2023-03-12T00:00:00"/>
    <x v="2"/>
    <s v="2023"/>
    <n v="2776"/>
    <x v="2"/>
    <x v="4"/>
    <x v="4"/>
    <s v="Fresh"/>
    <n v="15"/>
    <n v="3.52"/>
    <n v="0.17"/>
    <x v="1"/>
    <x v="0"/>
    <n v="6"/>
    <n v="2.9"/>
    <n v="43.823999999999998"/>
  </r>
  <r>
    <n v="1072"/>
    <d v="2023-03-13T00:00:00"/>
    <x v="2"/>
    <s v="2023"/>
    <n v="2345"/>
    <x v="0"/>
    <x v="3"/>
    <x v="4"/>
    <s v="Organic"/>
    <n v="44"/>
    <n v="4.68"/>
    <n v="0.1"/>
    <x v="1"/>
    <x v="1"/>
    <n v="6"/>
    <n v="4.8"/>
    <n v="185.328"/>
  </r>
  <r>
    <n v="1073"/>
    <d v="2023-03-14T00:00:00"/>
    <x v="2"/>
    <s v="2023"/>
    <n v="2564"/>
    <x v="2"/>
    <x v="5"/>
    <x v="3"/>
    <s v="Imported"/>
    <n v="16"/>
    <n v="2.9"/>
    <n v="0.14000000000000001"/>
    <x v="3"/>
    <x v="1"/>
    <n v="6"/>
    <n v="2.7"/>
    <n v="39.904000000000003"/>
  </r>
  <r>
    <n v="1074"/>
    <d v="2023-03-15T00:00:00"/>
    <x v="2"/>
    <s v="2023"/>
    <n v="2897"/>
    <x v="1"/>
    <x v="5"/>
    <x v="1"/>
    <s v="Fresh"/>
    <n v="27"/>
    <n v="3.11"/>
    <n v="0.02"/>
    <x v="3"/>
    <x v="0"/>
    <n v="2"/>
    <n v="3.6"/>
    <n v="82.290599999999998"/>
  </r>
  <r>
    <n v="1075"/>
    <d v="2023-03-16T00:00:00"/>
    <x v="2"/>
    <s v="2023"/>
    <n v="2339"/>
    <x v="3"/>
    <x v="3"/>
    <x v="3"/>
    <s v="Imported"/>
    <n v="8"/>
    <n v="0.9"/>
    <n v="0.05"/>
    <x v="3"/>
    <x v="0"/>
    <n v="6"/>
    <n v="4.2"/>
    <n v="6.84"/>
  </r>
  <r>
    <n v="1076"/>
    <d v="2023-03-17T00:00:00"/>
    <x v="2"/>
    <s v="2023"/>
    <n v="2091"/>
    <x v="0"/>
    <x v="4"/>
    <x v="1"/>
    <s v="Organic"/>
    <n v="46"/>
    <n v="3.73"/>
    <n v="0.14000000000000001"/>
    <x v="2"/>
    <x v="0"/>
    <n v="2"/>
    <n v="3.6"/>
    <n v="147.55879999999999"/>
  </r>
  <r>
    <n v="1077"/>
    <d v="2023-03-18T00:00:00"/>
    <x v="2"/>
    <s v="2023"/>
    <n v="2366"/>
    <x v="0"/>
    <x v="3"/>
    <x v="4"/>
    <s v="Fresh"/>
    <n v="25"/>
    <n v="2.2999999999999998"/>
    <n v="0.01"/>
    <x v="3"/>
    <x v="0"/>
    <n v="6"/>
    <n v="2.7"/>
    <n v="56.92499999999999"/>
  </r>
  <r>
    <n v="1078"/>
    <d v="2023-03-19T00:00:00"/>
    <x v="2"/>
    <s v="2023"/>
    <n v="2955"/>
    <x v="3"/>
    <x v="1"/>
    <x v="0"/>
    <s v="Organic"/>
    <n v="17"/>
    <n v="4.9000000000000004"/>
    <n v="0.1"/>
    <x v="2"/>
    <x v="0"/>
    <n v="5"/>
    <n v="3.9"/>
    <n v="74.970000000000013"/>
  </r>
  <r>
    <n v="1079"/>
    <d v="2023-03-20T00:00:00"/>
    <x v="2"/>
    <s v="2023"/>
    <n v="2454"/>
    <x v="0"/>
    <x v="1"/>
    <x v="1"/>
    <s v="Organic"/>
    <n v="29"/>
    <n v="4.2"/>
    <n v="0.12"/>
    <x v="3"/>
    <x v="0"/>
    <n v="6"/>
    <n v="4.0999999999999996"/>
    <n v="107.184"/>
  </r>
  <r>
    <n v="1080"/>
    <d v="2023-03-21T00:00:00"/>
    <x v="2"/>
    <s v="2023"/>
    <n v="2427"/>
    <x v="0"/>
    <x v="5"/>
    <x v="2"/>
    <s v="Fresh"/>
    <n v="8"/>
    <n v="2.85"/>
    <n v="0.12"/>
    <x v="2"/>
    <x v="1"/>
    <n v="3"/>
    <n v="4.3"/>
    <n v="20.064"/>
  </r>
  <r>
    <n v="1081"/>
    <d v="2023-03-22T00:00:00"/>
    <x v="2"/>
    <s v="2023"/>
    <n v="2508"/>
    <x v="2"/>
    <x v="0"/>
    <x v="2"/>
    <s v="Fresh"/>
    <n v="15"/>
    <n v="1.05"/>
    <n v="0"/>
    <x v="1"/>
    <x v="1"/>
    <n v="6"/>
    <n v="3.4"/>
    <n v="15.75"/>
  </r>
  <r>
    <n v="1082"/>
    <d v="2023-03-23T00:00:00"/>
    <x v="2"/>
    <s v="2023"/>
    <n v="2775"/>
    <x v="0"/>
    <x v="4"/>
    <x v="5"/>
    <s v="Fresh"/>
    <n v="27"/>
    <n v="4.37"/>
    <n v="0.06"/>
    <x v="0"/>
    <x v="2"/>
    <n v="6"/>
    <n v="3.9"/>
    <n v="110.9106"/>
  </r>
  <r>
    <n v="1083"/>
    <d v="2023-03-24T00:00:00"/>
    <x v="2"/>
    <s v="2023"/>
    <n v="2942"/>
    <x v="1"/>
    <x v="5"/>
    <x v="1"/>
    <s v="Fresh"/>
    <n v="46"/>
    <n v="4.0999999999999996"/>
    <n v="0.13"/>
    <x v="1"/>
    <x v="1"/>
    <n v="5"/>
    <n v="3.6"/>
    <n v="164.08199999999999"/>
  </r>
  <r>
    <n v="1084"/>
    <d v="2023-03-25T00:00:00"/>
    <x v="2"/>
    <s v="2023"/>
    <n v="2034"/>
    <x v="1"/>
    <x v="0"/>
    <x v="0"/>
    <s v="Fresh"/>
    <n v="7"/>
    <n v="1.33"/>
    <n v="0.03"/>
    <x v="1"/>
    <x v="1"/>
    <n v="4"/>
    <n v="4.2"/>
    <n v="9.0306999999999995"/>
  </r>
  <r>
    <n v="1085"/>
    <d v="2023-03-26T00:00:00"/>
    <x v="2"/>
    <s v="2023"/>
    <n v="2205"/>
    <x v="3"/>
    <x v="0"/>
    <x v="3"/>
    <s v="Fresh"/>
    <n v="3"/>
    <n v="1.83"/>
    <n v="0.14000000000000001"/>
    <x v="3"/>
    <x v="0"/>
    <n v="5"/>
    <n v="4"/>
    <n v="4.7214"/>
  </r>
  <r>
    <n v="1086"/>
    <d v="2023-03-27T00:00:00"/>
    <x v="2"/>
    <s v="2023"/>
    <n v="2080"/>
    <x v="0"/>
    <x v="1"/>
    <x v="4"/>
    <s v="Fresh"/>
    <n v="29"/>
    <n v="4.07"/>
    <n v="0.15"/>
    <x v="2"/>
    <x v="0"/>
    <n v="3"/>
    <n v="3.8"/>
    <n v="100.32550000000001"/>
  </r>
  <r>
    <n v="1087"/>
    <d v="2023-03-28T00:00:00"/>
    <x v="2"/>
    <s v="2023"/>
    <n v="2931"/>
    <x v="3"/>
    <x v="2"/>
    <x v="5"/>
    <s v="Imported"/>
    <n v="44"/>
    <n v="1.33"/>
    <n v="0.2"/>
    <x v="0"/>
    <x v="1"/>
    <n v="4"/>
    <n v="3.1"/>
    <n v="46.816000000000003"/>
  </r>
  <r>
    <n v="1088"/>
    <d v="2023-03-29T00:00:00"/>
    <x v="2"/>
    <s v="2023"/>
    <n v="2561"/>
    <x v="1"/>
    <x v="2"/>
    <x v="2"/>
    <s v="Organic"/>
    <n v="24"/>
    <n v="4.63"/>
    <n v="0.04"/>
    <x v="3"/>
    <x v="2"/>
    <n v="1"/>
    <n v="2.5"/>
    <n v="106.6752"/>
  </r>
  <r>
    <n v="1089"/>
    <d v="2023-03-30T00:00:00"/>
    <x v="2"/>
    <s v="2023"/>
    <n v="2871"/>
    <x v="0"/>
    <x v="3"/>
    <x v="3"/>
    <s v="Fresh"/>
    <n v="3"/>
    <n v="2.41"/>
    <n v="0.17"/>
    <x v="3"/>
    <x v="0"/>
    <n v="1"/>
    <n v="2.9"/>
    <n v="6.0008999999999997"/>
  </r>
  <r>
    <n v="1090"/>
    <d v="2023-03-31T00:00:00"/>
    <x v="2"/>
    <s v="2023"/>
    <n v="2387"/>
    <x v="0"/>
    <x v="1"/>
    <x v="3"/>
    <s v="Imported"/>
    <n v="20"/>
    <n v="0.89"/>
    <n v="0.1"/>
    <x v="3"/>
    <x v="1"/>
    <n v="3"/>
    <n v="2.8"/>
    <n v="16.02"/>
  </r>
  <r>
    <n v="1091"/>
    <d v="2023-04-01T00:00:00"/>
    <x v="3"/>
    <s v="2023"/>
    <n v="2001"/>
    <x v="3"/>
    <x v="0"/>
    <x v="4"/>
    <s v="Imported"/>
    <n v="46"/>
    <n v="4.17"/>
    <n v="7.0000000000000007E-2"/>
    <x v="1"/>
    <x v="1"/>
    <n v="5"/>
    <n v="3.6"/>
    <n v="178.39259999999999"/>
  </r>
  <r>
    <n v="1092"/>
    <d v="2023-04-02T00:00:00"/>
    <x v="3"/>
    <s v="2023"/>
    <n v="2389"/>
    <x v="1"/>
    <x v="4"/>
    <x v="1"/>
    <s v="Imported"/>
    <n v="15"/>
    <n v="2.1800000000000002"/>
    <n v="0.02"/>
    <x v="2"/>
    <x v="2"/>
    <n v="2"/>
    <n v="4"/>
    <n v="32.045999999999999"/>
  </r>
  <r>
    <n v="1093"/>
    <d v="2023-04-03T00:00:00"/>
    <x v="3"/>
    <s v="2023"/>
    <n v="2565"/>
    <x v="0"/>
    <x v="2"/>
    <x v="2"/>
    <s v="Organic"/>
    <n v="25"/>
    <n v="2.87"/>
    <n v="0.15"/>
    <x v="2"/>
    <x v="2"/>
    <n v="3"/>
    <n v="3"/>
    <n v="60.987499999999997"/>
  </r>
  <r>
    <n v="1094"/>
    <d v="2023-04-04T00:00:00"/>
    <x v="3"/>
    <s v="2023"/>
    <n v="2105"/>
    <x v="3"/>
    <x v="0"/>
    <x v="0"/>
    <s v="Fresh"/>
    <n v="30"/>
    <n v="1.01"/>
    <n v="0.05"/>
    <x v="0"/>
    <x v="0"/>
    <n v="4"/>
    <n v="4.8"/>
    <n v="28.785"/>
  </r>
  <r>
    <n v="1095"/>
    <d v="2023-04-05T00:00:00"/>
    <x v="3"/>
    <s v="2023"/>
    <n v="2771"/>
    <x v="1"/>
    <x v="2"/>
    <x v="3"/>
    <s v="Imported"/>
    <n v="14"/>
    <n v="0.51"/>
    <n v="7.0000000000000007E-2"/>
    <x v="2"/>
    <x v="2"/>
    <n v="4"/>
    <n v="2.5"/>
    <n v="6.6402000000000001"/>
  </r>
  <r>
    <n v="1096"/>
    <d v="2023-04-06T00:00:00"/>
    <x v="3"/>
    <s v="2023"/>
    <n v="2821"/>
    <x v="3"/>
    <x v="2"/>
    <x v="4"/>
    <s v="Organic"/>
    <n v="7"/>
    <n v="3.37"/>
    <n v="0.01"/>
    <x v="2"/>
    <x v="1"/>
    <n v="6"/>
    <n v="4.4000000000000004"/>
    <n v="23.354099999999999"/>
  </r>
  <r>
    <n v="1097"/>
    <d v="2023-04-07T00:00:00"/>
    <x v="3"/>
    <s v="2023"/>
    <n v="2476"/>
    <x v="2"/>
    <x v="2"/>
    <x v="0"/>
    <s v="Organic"/>
    <n v="17"/>
    <n v="2.82"/>
    <n v="0.16"/>
    <x v="3"/>
    <x v="1"/>
    <n v="1"/>
    <n v="4.0999999999999996"/>
    <n v="40.269599999999997"/>
  </r>
  <r>
    <n v="1098"/>
    <d v="2023-04-08T00:00:00"/>
    <x v="3"/>
    <s v="2023"/>
    <n v="2702"/>
    <x v="0"/>
    <x v="4"/>
    <x v="1"/>
    <s v="Organic"/>
    <n v="44"/>
    <n v="3.17"/>
    <n v="0.15"/>
    <x v="3"/>
    <x v="2"/>
    <n v="4"/>
    <n v="3.4"/>
    <n v="118.55800000000001"/>
  </r>
  <r>
    <n v="1099"/>
    <d v="2023-04-09T00:00:00"/>
    <x v="3"/>
    <s v="2023"/>
    <n v="2401"/>
    <x v="2"/>
    <x v="1"/>
    <x v="2"/>
    <s v="Imported"/>
    <n v="20"/>
    <n v="4.07"/>
    <n v="0.15"/>
    <x v="1"/>
    <x v="2"/>
    <n v="3"/>
    <n v="2.6"/>
    <n v="69.19"/>
  </r>
  <r>
    <n v="1100"/>
    <d v="2023-04-10T00:00:00"/>
    <x v="3"/>
    <s v="2023"/>
    <n v="2729"/>
    <x v="1"/>
    <x v="4"/>
    <x v="1"/>
    <s v="Fresh"/>
    <n v="36"/>
    <n v="3.41"/>
    <n v="0.06"/>
    <x v="3"/>
    <x v="2"/>
    <n v="4"/>
    <n v="4.0999999999999996"/>
    <n v="115.3944"/>
  </r>
  <r>
    <n v="1101"/>
    <d v="2023-04-11T00:00:00"/>
    <x v="3"/>
    <s v="2023"/>
    <n v="2555"/>
    <x v="2"/>
    <x v="5"/>
    <x v="3"/>
    <s v="Imported"/>
    <n v="9"/>
    <n v="1.29"/>
    <n v="0.03"/>
    <x v="3"/>
    <x v="2"/>
    <n v="3"/>
    <n v="3.5"/>
    <n v="11.261699999999999"/>
  </r>
  <r>
    <n v="1102"/>
    <d v="2023-04-12T00:00:00"/>
    <x v="3"/>
    <s v="2023"/>
    <n v="2161"/>
    <x v="2"/>
    <x v="0"/>
    <x v="0"/>
    <s v="Imported"/>
    <n v="38"/>
    <n v="2.12"/>
    <n v="0.13"/>
    <x v="3"/>
    <x v="0"/>
    <n v="2"/>
    <n v="4.8"/>
    <n v="70.087199999999996"/>
  </r>
  <r>
    <n v="1103"/>
    <d v="2023-04-13T00:00:00"/>
    <x v="3"/>
    <s v="2023"/>
    <n v="2201"/>
    <x v="1"/>
    <x v="1"/>
    <x v="0"/>
    <s v="Fresh"/>
    <n v="48"/>
    <n v="4.58"/>
    <n v="0.1"/>
    <x v="3"/>
    <x v="2"/>
    <n v="6"/>
    <n v="3.9"/>
    <n v="197.85599999999999"/>
  </r>
  <r>
    <n v="1104"/>
    <d v="2023-04-14T00:00:00"/>
    <x v="3"/>
    <s v="2023"/>
    <n v="2957"/>
    <x v="3"/>
    <x v="1"/>
    <x v="0"/>
    <s v="Fresh"/>
    <n v="22"/>
    <n v="3.96"/>
    <n v="0.04"/>
    <x v="1"/>
    <x v="0"/>
    <n v="1"/>
    <n v="4.8"/>
    <n v="83.635199999999998"/>
  </r>
  <r>
    <n v="1105"/>
    <d v="2023-04-15T00:00:00"/>
    <x v="3"/>
    <s v="2023"/>
    <n v="2995"/>
    <x v="2"/>
    <x v="1"/>
    <x v="3"/>
    <s v="Fresh"/>
    <n v="2"/>
    <n v="3"/>
    <n v="0.14000000000000001"/>
    <x v="3"/>
    <x v="1"/>
    <n v="4"/>
    <n v="3.1"/>
    <n v="5.16"/>
  </r>
  <r>
    <n v="1106"/>
    <d v="2023-04-16T00:00:00"/>
    <x v="3"/>
    <s v="2023"/>
    <n v="2269"/>
    <x v="3"/>
    <x v="1"/>
    <x v="3"/>
    <s v="Organic"/>
    <n v="24"/>
    <n v="1.65"/>
    <n v="0.2"/>
    <x v="0"/>
    <x v="2"/>
    <n v="3"/>
    <n v="4.3"/>
    <n v="31.68"/>
  </r>
  <r>
    <n v="1107"/>
    <d v="2023-04-17T00:00:00"/>
    <x v="3"/>
    <s v="2023"/>
    <n v="2862"/>
    <x v="2"/>
    <x v="4"/>
    <x v="1"/>
    <s v="Fresh"/>
    <n v="8"/>
    <n v="1.86"/>
    <n v="0.15"/>
    <x v="0"/>
    <x v="0"/>
    <n v="5"/>
    <n v="4"/>
    <n v="12.648"/>
  </r>
  <r>
    <n v="1108"/>
    <d v="2023-04-18T00:00:00"/>
    <x v="3"/>
    <s v="2023"/>
    <n v="2815"/>
    <x v="3"/>
    <x v="1"/>
    <x v="5"/>
    <s v="Imported"/>
    <n v="11"/>
    <n v="3.79"/>
    <n v="0.15"/>
    <x v="0"/>
    <x v="2"/>
    <n v="1"/>
    <n v="4.3"/>
    <n v="35.436500000000002"/>
  </r>
  <r>
    <n v="1109"/>
    <d v="2023-04-19T00:00:00"/>
    <x v="3"/>
    <s v="2023"/>
    <n v="2270"/>
    <x v="1"/>
    <x v="3"/>
    <x v="1"/>
    <s v="Fresh"/>
    <n v="13"/>
    <n v="4.33"/>
    <n v="0.19"/>
    <x v="0"/>
    <x v="1"/>
    <n v="2"/>
    <n v="3"/>
    <n v="45.594900000000003"/>
  </r>
  <r>
    <n v="1110"/>
    <d v="2023-04-20T00:00:00"/>
    <x v="3"/>
    <s v="2023"/>
    <n v="2455"/>
    <x v="2"/>
    <x v="0"/>
    <x v="2"/>
    <s v="Imported"/>
    <n v="17"/>
    <n v="3.52"/>
    <n v="0.04"/>
    <x v="3"/>
    <x v="1"/>
    <n v="3"/>
    <n v="4.2"/>
    <n v="57.446399999999997"/>
  </r>
  <r>
    <n v="1111"/>
    <d v="2023-04-21T00:00:00"/>
    <x v="3"/>
    <s v="2023"/>
    <n v="2461"/>
    <x v="1"/>
    <x v="1"/>
    <x v="4"/>
    <s v="Organic"/>
    <n v="8"/>
    <n v="4.1399999999999997"/>
    <n v="0.11"/>
    <x v="0"/>
    <x v="1"/>
    <n v="6"/>
    <n v="3.7"/>
    <n v="29.476800000000001"/>
  </r>
  <r>
    <n v="1112"/>
    <d v="2023-04-22T00:00:00"/>
    <x v="3"/>
    <s v="2023"/>
    <n v="2726"/>
    <x v="2"/>
    <x v="0"/>
    <x v="0"/>
    <s v="Imported"/>
    <n v="21"/>
    <n v="3.95"/>
    <n v="0.2"/>
    <x v="3"/>
    <x v="2"/>
    <n v="6"/>
    <n v="4.4000000000000004"/>
    <n v="66.36"/>
  </r>
  <r>
    <n v="1113"/>
    <d v="2023-04-23T00:00:00"/>
    <x v="3"/>
    <s v="2023"/>
    <n v="2251"/>
    <x v="1"/>
    <x v="3"/>
    <x v="5"/>
    <s v="Imported"/>
    <n v="18"/>
    <n v="1.17"/>
    <n v="0.03"/>
    <x v="1"/>
    <x v="2"/>
    <n v="2"/>
    <n v="3.3"/>
    <n v="20.4282"/>
  </r>
  <r>
    <n v="1114"/>
    <d v="2023-04-24T00:00:00"/>
    <x v="3"/>
    <s v="2023"/>
    <n v="2701"/>
    <x v="1"/>
    <x v="3"/>
    <x v="4"/>
    <s v="Fresh"/>
    <n v="30"/>
    <n v="2.41"/>
    <n v="0.14000000000000001"/>
    <x v="0"/>
    <x v="0"/>
    <n v="2"/>
    <n v="4.7"/>
    <n v="62.178000000000011"/>
  </r>
  <r>
    <n v="1115"/>
    <d v="2023-04-25T00:00:00"/>
    <x v="3"/>
    <s v="2023"/>
    <n v="2295"/>
    <x v="2"/>
    <x v="0"/>
    <x v="5"/>
    <s v="Fresh"/>
    <n v="18"/>
    <n v="1.19"/>
    <n v="0.12"/>
    <x v="2"/>
    <x v="1"/>
    <n v="6"/>
    <n v="2.7"/>
    <n v="18.849599999999999"/>
  </r>
  <r>
    <n v="1116"/>
    <d v="2023-04-26T00:00:00"/>
    <x v="3"/>
    <s v="2023"/>
    <n v="2724"/>
    <x v="2"/>
    <x v="2"/>
    <x v="1"/>
    <s v="Imported"/>
    <n v="46"/>
    <n v="1.56"/>
    <n v="0.12"/>
    <x v="0"/>
    <x v="2"/>
    <n v="4"/>
    <n v="4.5"/>
    <n v="63.148800000000001"/>
  </r>
  <r>
    <n v="1117"/>
    <d v="2023-04-27T00:00:00"/>
    <x v="3"/>
    <s v="2023"/>
    <n v="2719"/>
    <x v="2"/>
    <x v="5"/>
    <x v="3"/>
    <s v="Fresh"/>
    <n v="47"/>
    <n v="4.41"/>
    <n v="0.14000000000000001"/>
    <x v="0"/>
    <x v="1"/>
    <n v="4"/>
    <n v="4.7"/>
    <n v="178.25219999999999"/>
  </r>
  <r>
    <n v="1118"/>
    <d v="2023-04-28T00:00:00"/>
    <x v="3"/>
    <s v="2023"/>
    <n v="2748"/>
    <x v="0"/>
    <x v="2"/>
    <x v="0"/>
    <s v="Organic"/>
    <n v="31"/>
    <n v="2.63"/>
    <n v="0.19"/>
    <x v="3"/>
    <x v="1"/>
    <n v="3"/>
    <n v="4.5"/>
    <n v="66.039300000000011"/>
  </r>
  <r>
    <n v="1119"/>
    <d v="2023-04-29T00:00:00"/>
    <x v="3"/>
    <s v="2023"/>
    <n v="2337"/>
    <x v="3"/>
    <x v="2"/>
    <x v="1"/>
    <s v="Organic"/>
    <n v="38"/>
    <n v="2.91"/>
    <n v="0.16"/>
    <x v="0"/>
    <x v="0"/>
    <n v="5"/>
    <n v="3.8"/>
    <n v="92.887200000000007"/>
  </r>
  <r>
    <n v="1120"/>
    <d v="2023-04-30T00:00:00"/>
    <x v="3"/>
    <s v="2023"/>
    <n v="2878"/>
    <x v="0"/>
    <x v="4"/>
    <x v="4"/>
    <s v="Fresh"/>
    <n v="32"/>
    <n v="1.3"/>
    <n v="0.01"/>
    <x v="2"/>
    <x v="0"/>
    <n v="3"/>
    <n v="3.6"/>
    <n v="41.183999999999997"/>
  </r>
  <r>
    <n v="1121"/>
    <d v="2023-05-01T00:00:00"/>
    <x v="4"/>
    <s v="2023"/>
    <n v="2052"/>
    <x v="0"/>
    <x v="2"/>
    <x v="4"/>
    <s v="Organic"/>
    <n v="11"/>
    <n v="1.91"/>
    <n v="0.17"/>
    <x v="3"/>
    <x v="0"/>
    <n v="5"/>
    <n v="5"/>
    <n v="17.438300000000002"/>
  </r>
  <r>
    <n v="1122"/>
    <d v="2023-05-02T00:00:00"/>
    <x v="4"/>
    <s v="2023"/>
    <n v="2791"/>
    <x v="1"/>
    <x v="1"/>
    <x v="4"/>
    <s v="Fresh"/>
    <n v="45"/>
    <n v="1.54"/>
    <n v="0.05"/>
    <x v="3"/>
    <x v="0"/>
    <n v="2"/>
    <n v="3.1"/>
    <n v="65.834999999999994"/>
  </r>
  <r>
    <n v="1123"/>
    <d v="2023-05-03T00:00:00"/>
    <x v="4"/>
    <s v="2023"/>
    <n v="2921"/>
    <x v="2"/>
    <x v="4"/>
    <x v="4"/>
    <s v="Imported"/>
    <n v="25"/>
    <n v="1.43"/>
    <n v="0.08"/>
    <x v="1"/>
    <x v="1"/>
    <n v="1"/>
    <n v="3.9"/>
    <n v="32.89"/>
  </r>
  <r>
    <n v="1124"/>
    <d v="2023-05-04T00:00:00"/>
    <x v="4"/>
    <s v="2023"/>
    <n v="2216"/>
    <x v="3"/>
    <x v="4"/>
    <x v="4"/>
    <s v="Imported"/>
    <n v="33"/>
    <n v="3.37"/>
    <n v="0.09"/>
    <x v="1"/>
    <x v="0"/>
    <n v="3"/>
    <n v="4.2"/>
    <n v="101.2011"/>
  </r>
  <r>
    <n v="1125"/>
    <d v="2023-05-05T00:00:00"/>
    <x v="4"/>
    <s v="2023"/>
    <n v="2763"/>
    <x v="1"/>
    <x v="3"/>
    <x v="5"/>
    <s v="Organic"/>
    <n v="38"/>
    <n v="1.66"/>
    <n v="0.1"/>
    <x v="0"/>
    <x v="0"/>
    <n v="3"/>
    <n v="4.3"/>
    <n v="56.771999999999998"/>
  </r>
  <r>
    <n v="1126"/>
    <d v="2023-05-06T00:00:00"/>
    <x v="4"/>
    <s v="2023"/>
    <n v="2187"/>
    <x v="0"/>
    <x v="2"/>
    <x v="1"/>
    <s v="Fresh"/>
    <n v="41"/>
    <n v="3.34"/>
    <n v="0.09"/>
    <x v="1"/>
    <x v="0"/>
    <n v="5"/>
    <n v="3"/>
    <n v="124.61539999999999"/>
  </r>
  <r>
    <n v="1127"/>
    <d v="2023-05-07T00:00:00"/>
    <x v="4"/>
    <s v="2023"/>
    <n v="2379"/>
    <x v="2"/>
    <x v="3"/>
    <x v="0"/>
    <s v="Fresh"/>
    <n v="8"/>
    <n v="0.76"/>
    <n v="0.19"/>
    <x v="1"/>
    <x v="0"/>
    <n v="2"/>
    <n v="4.0999999999999996"/>
    <n v="4.9248000000000003"/>
  </r>
  <r>
    <n v="1128"/>
    <d v="2023-05-08T00:00:00"/>
    <x v="4"/>
    <s v="2023"/>
    <n v="2492"/>
    <x v="1"/>
    <x v="0"/>
    <x v="3"/>
    <s v="Organic"/>
    <n v="11"/>
    <n v="1.1399999999999999"/>
    <n v="0.14000000000000001"/>
    <x v="1"/>
    <x v="1"/>
    <n v="2"/>
    <n v="4.5"/>
    <n v="10.7844"/>
  </r>
  <r>
    <n v="1129"/>
    <d v="2023-05-09T00:00:00"/>
    <x v="4"/>
    <s v="2023"/>
    <n v="2040"/>
    <x v="2"/>
    <x v="5"/>
    <x v="3"/>
    <s v="Imported"/>
    <n v="22"/>
    <n v="1.74"/>
    <n v="0.13"/>
    <x v="3"/>
    <x v="0"/>
    <n v="5"/>
    <n v="2.6"/>
    <n v="33.303600000000003"/>
  </r>
  <r>
    <n v="1130"/>
    <d v="2023-05-10T00:00:00"/>
    <x v="4"/>
    <s v="2023"/>
    <n v="2156"/>
    <x v="1"/>
    <x v="4"/>
    <x v="1"/>
    <s v="Organic"/>
    <n v="24"/>
    <n v="3.19"/>
    <n v="0.01"/>
    <x v="3"/>
    <x v="1"/>
    <n v="2"/>
    <n v="4.8"/>
    <n v="75.794399999999996"/>
  </r>
  <r>
    <n v="1131"/>
    <d v="2023-05-11T00:00:00"/>
    <x v="4"/>
    <s v="2023"/>
    <n v="2014"/>
    <x v="2"/>
    <x v="0"/>
    <x v="1"/>
    <s v="Imported"/>
    <n v="41"/>
    <n v="3.54"/>
    <n v="0.18"/>
    <x v="3"/>
    <x v="2"/>
    <n v="6"/>
    <n v="2.6"/>
    <n v="119.01479999999999"/>
  </r>
  <r>
    <n v="1132"/>
    <d v="2023-05-12T00:00:00"/>
    <x v="4"/>
    <s v="2023"/>
    <n v="2812"/>
    <x v="0"/>
    <x v="0"/>
    <x v="3"/>
    <s v="Fresh"/>
    <n v="17"/>
    <n v="2.4900000000000002"/>
    <n v="0.18"/>
    <x v="1"/>
    <x v="1"/>
    <n v="4"/>
    <n v="3.4"/>
    <n v="34.710600000000007"/>
  </r>
  <r>
    <n v="1133"/>
    <d v="2023-05-13T00:00:00"/>
    <x v="4"/>
    <s v="2023"/>
    <n v="2064"/>
    <x v="3"/>
    <x v="1"/>
    <x v="3"/>
    <s v="Imported"/>
    <n v="12"/>
    <n v="2.5099999999999998"/>
    <n v="0.16"/>
    <x v="3"/>
    <x v="1"/>
    <n v="6"/>
    <n v="2.5"/>
    <n v="25.300799999999999"/>
  </r>
  <r>
    <n v="1134"/>
    <d v="2023-05-14T00:00:00"/>
    <x v="4"/>
    <s v="2023"/>
    <n v="2856"/>
    <x v="0"/>
    <x v="5"/>
    <x v="5"/>
    <s v="Organic"/>
    <n v="46"/>
    <n v="3.76"/>
    <n v="0"/>
    <x v="1"/>
    <x v="0"/>
    <n v="1"/>
    <n v="2.7"/>
    <n v="172.96"/>
  </r>
  <r>
    <n v="1135"/>
    <d v="2023-05-15T00:00:00"/>
    <x v="4"/>
    <s v="2023"/>
    <n v="2838"/>
    <x v="3"/>
    <x v="0"/>
    <x v="2"/>
    <s v="Fresh"/>
    <n v="32"/>
    <n v="0.56999999999999995"/>
    <n v="0.01"/>
    <x v="3"/>
    <x v="2"/>
    <n v="3"/>
    <n v="4.8"/>
    <n v="18.057600000000001"/>
  </r>
  <r>
    <n v="1136"/>
    <d v="2023-05-16T00:00:00"/>
    <x v="4"/>
    <s v="2023"/>
    <n v="2520"/>
    <x v="2"/>
    <x v="0"/>
    <x v="0"/>
    <s v="Organic"/>
    <n v="15"/>
    <n v="2.0299999999999998"/>
    <n v="0.05"/>
    <x v="3"/>
    <x v="2"/>
    <n v="1"/>
    <n v="3.4"/>
    <n v="28.927499999999991"/>
  </r>
  <r>
    <n v="1137"/>
    <d v="2023-05-17T00:00:00"/>
    <x v="4"/>
    <s v="2023"/>
    <n v="2343"/>
    <x v="1"/>
    <x v="5"/>
    <x v="4"/>
    <s v="Organic"/>
    <n v="16"/>
    <n v="4.18"/>
    <n v="0.03"/>
    <x v="2"/>
    <x v="2"/>
    <n v="3"/>
    <n v="3.6"/>
    <n v="64.873599999999996"/>
  </r>
  <r>
    <n v="1138"/>
    <d v="2023-05-18T00:00:00"/>
    <x v="4"/>
    <s v="2023"/>
    <n v="2128"/>
    <x v="0"/>
    <x v="5"/>
    <x v="2"/>
    <s v="Imported"/>
    <n v="22"/>
    <n v="3.21"/>
    <n v="0.08"/>
    <x v="0"/>
    <x v="2"/>
    <n v="4"/>
    <n v="3"/>
    <n v="64.970400000000012"/>
  </r>
  <r>
    <n v="1139"/>
    <d v="2023-05-19T00:00:00"/>
    <x v="4"/>
    <s v="2023"/>
    <n v="2647"/>
    <x v="3"/>
    <x v="0"/>
    <x v="1"/>
    <s v="Organic"/>
    <n v="28"/>
    <n v="2.02"/>
    <n v="0.18"/>
    <x v="1"/>
    <x v="1"/>
    <n v="2"/>
    <n v="4"/>
    <n v="46.379199999999997"/>
  </r>
  <r>
    <n v="1140"/>
    <d v="2023-05-20T00:00:00"/>
    <x v="4"/>
    <s v="2023"/>
    <n v="2471"/>
    <x v="0"/>
    <x v="5"/>
    <x v="3"/>
    <s v="Imported"/>
    <n v="20"/>
    <n v="4.57"/>
    <n v="0.09"/>
    <x v="2"/>
    <x v="2"/>
    <n v="6"/>
    <n v="4"/>
    <n v="83.174000000000007"/>
  </r>
  <r>
    <n v="1141"/>
    <d v="2023-05-21T00:00:00"/>
    <x v="4"/>
    <s v="2023"/>
    <n v="2062"/>
    <x v="3"/>
    <x v="0"/>
    <x v="2"/>
    <s v="Fresh"/>
    <n v="33"/>
    <n v="3.98"/>
    <n v="0"/>
    <x v="3"/>
    <x v="1"/>
    <n v="5"/>
    <n v="3.4"/>
    <n v="131.34"/>
  </r>
  <r>
    <n v="1142"/>
    <d v="2023-05-22T00:00:00"/>
    <x v="4"/>
    <s v="2023"/>
    <n v="2138"/>
    <x v="0"/>
    <x v="0"/>
    <x v="0"/>
    <s v="Imported"/>
    <n v="10"/>
    <n v="1.69"/>
    <n v="0.06"/>
    <x v="1"/>
    <x v="1"/>
    <n v="6"/>
    <n v="3.3"/>
    <n v="15.885999999999999"/>
  </r>
  <r>
    <n v="1143"/>
    <d v="2023-05-23T00:00:00"/>
    <x v="4"/>
    <s v="2023"/>
    <n v="2498"/>
    <x v="3"/>
    <x v="1"/>
    <x v="1"/>
    <s v="Fresh"/>
    <n v="40"/>
    <n v="3.4"/>
    <n v="0.01"/>
    <x v="3"/>
    <x v="1"/>
    <n v="4"/>
    <n v="4.7"/>
    <n v="134.63999999999999"/>
  </r>
  <r>
    <n v="1144"/>
    <d v="2023-05-24T00:00:00"/>
    <x v="4"/>
    <s v="2023"/>
    <n v="2592"/>
    <x v="3"/>
    <x v="2"/>
    <x v="4"/>
    <s v="Imported"/>
    <n v="32"/>
    <n v="3.18"/>
    <n v="0.01"/>
    <x v="0"/>
    <x v="2"/>
    <n v="1"/>
    <n v="3.5"/>
    <n v="100.7424"/>
  </r>
  <r>
    <n v="1145"/>
    <d v="2023-05-25T00:00:00"/>
    <x v="4"/>
    <s v="2023"/>
    <n v="2391"/>
    <x v="2"/>
    <x v="0"/>
    <x v="4"/>
    <s v="Organic"/>
    <n v="33"/>
    <n v="2.31"/>
    <n v="0.06"/>
    <x v="2"/>
    <x v="0"/>
    <n v="5"/>
    <n v="3.7"/>
    <n v="71.656199999999998"/>
  </r>
  <r>
    <n v="1146"/>
    <d v="2023-05-26T00:00:00"/>
    <x v="4"/>
    <s v="2023"/>
    <n v="2674"/>
    <x v="3"/>
    <x v="3"/>
    <x v="0"/>
    <s v="Imported"/>
    <n v="2"/>
    <n v="2.15"/>
    <n v="0.06"/>
    <x v="0"/>
    <x v="0"/>
    <n v="2"/>
    <n v="3.2"/>
    <n v="4.0419999999999998"/>
  </r>
  <r>
    <n v="1147"/>
    <d v="2023-05-27T00:00:00"/>
    <x v="4"/>
    <s v="2023"/>
    <n v="2418"/>
    <x v="2"/>
    <x v="4"/>
    <x v="0"/>
    <s v="Imported"/>
    <n v="33"/>
    <n v="2.0499999999999998"/>
    <n v="0.16"/>
    <x v="2"/>
    <x v="2"/>
    <n v="4"/>
    <n v="4.5"/>
    <n v="56.825999999999993"/>
  </r>
  <r>
    <n v="1148"/>
    <d v="2023-05-28T00:00:00"/>
    <x v="4"/>
    <s v="2023"/>
    <n v="2288"/>
    <x v="3"/>
    <x v="2"/>
    <x v="3"/>
    <s v="Fresh"/>
    <n v="33"/>
    <n v="3.28"/>
    <n v="0.19"/>
    <x v="3"/>
    <x v="0"/>
    <n v="5"/>
    <n v="3.5"/>
    <n v="87.674400000000006"/>
  </r>
  <r>
    <n v="1149"/>
    <d v="2023-05-29T00:00:00"/>
    <x v="4"/>
    <s v="2023"/>
    <n v="2378"/>
    <x v="1"/>
    <x v="2"/>
    <x v="4"/>
    <s v="Organic"/>
    <n v="41"/>
    <n v="2.4900000000000002"/>
    <n v="7.0000000000000007E-2"/>
    <x v="0"/>
    <x v="0"/>
    <n v="4"/>
    <n v="3.8"/>
    <n v="94.943699999999993"/>
  </r>
  <r>
    <n v="1150"/>
    <d v="2023-05-30T00:00:00"/>
    <x v="4"/>
    <s v="2023"/>
    <n v="2772"/>
    <x v="1"/>
    <x v="2"/>
    <x v="1"/>
    <s v="Imported"/>
    <n v="13"/>
    <n v="4.24"/>
    <n v="0.09"/>
    <x v="0"/>
    <x v="1"/>
    <n v="4"/>
    <n v="3.1"/>
    <n v="50.159200000000013"/>
  </r>
  <r>
    <n v="1151"/>
    <d v="2023-05-31T00:00:00"/>
    <x v="4"/>
    <s v="2023"/>
    <n v="2489"/>
    <x v="1"/>
    <x v="1"/>
    <x v="2"/>
    <s v="Organic"/>
    <n v="30"/>
    <n v="3.51"/>
    <n v="0.17"/>
    <x v="3"/>
    <x v="1"/>
    <n v="2"/>
    <n v="5"/>
    <n v="87.398999999999987"/>
  </r>
  <r>
    <n v="1152"/>
    <d v="2023-06-01T00:00:00"/>
    <x v="5"/>
    <s v="2023"/>
    <n v="2230"/>
    <x v="3"/>
    <x v="0"/>
    <x v="1"/>
    <s v="Imported"/>
    <n v="33"/>
    <n v="0.81"/>
    <n v="0.05"/>
    <x v="0"/>
    <x v="2"/>
    <n v="3"/>
    <n v="3.2"/>
    <n v="25.3935"/>
  </r>
  <r>
    <n v="1153"/>
    <d v="2023-06-02T00:00:00"/>
    <x v="5"/>
    <s v="2023"/>
    <n v="2040"/>
    <x v="2"/>
    <x v="1"/>
    <x v="5"/>
    <s v="Imported"/>
    <n v="13"/>
    <n v="3.38"/>
    <n v="0.03"/>
    <x v="1"/>
    <x v="2"/>
    <n v="5"/>
    <n v="4.4000000000000004"/>
    <n v="42.621799999999993"/>
  </r>
  <r>
    <n v="1154"/>
    <d v="2023-06-03T00:00:00"/>
    <x v="5"/>
    <s v="2023"/>
    <n v="2027"/>
    <x v="2"/>
    <x v="0"/>
    <x v="5"/>
    <s v="Organic"/>
    <n v="26"/>
    <n v="1.72"/>
    <n v="0.17"/>
    <x v="2"/>
    <x v="0"/>
    <n v="2"/>
    <n v="3.6"/>
    <n v="37.117600000000003"/>
  </r>
  <r>
    <n v="1155"/>
    <d v="2023-06-04T00:00:00"/>
    <x v="5"/>
    <s v="2023"/>
    <n v="2134"/>
    <x v="3"/>
    <x v="1"/>
    <x v="0"/>
    <s v="Imported"/>
    <n v="22"/>
    <n v="3.17"/>
    <n v="0.01"/>
    <x v="2"/>
    <x v="1"/>
    <n v="4"/>
    <n v="3"/>
    <n v="69.042599999999993"/>
  </r>
  <r>
    <n v="1156"/>
    <d v="2023-06-05T00:00:00"/>
    <x v="5"/>
    <s v="2023"/>
    <n v="2200"/>
    <x v="1"/>
    <x v="1"/>
    <x v="3"/>
    <s v="Organic"/>
    <n v="39"/>
    <n v="3.56"/>
    <n v="0.12"/>
    <x v="2"/>
    <x v="2"/>
    <n v="2"/>
    <n v="4.5"/>
    <n v="122.17919999999999"/>
  </r>
  <r>
    <n v="1157"/>
    <d v="2023-06-06T00:00:00"/>
    <x v="5"/>
    <s v="2023"/>
    <n v="2839"/>
    <x v="1"/>
    <x v="4"/>
    <x v="5"/>
    <s v="Imported"/>
    <n v="2"/>
    <n v="1.54"/>
    <n v="0.11"/>
    <x v="1"/>
    <x v="2"/>
    <n v="3"/>
    <n v="3.3"/>
    <n v="2.7412000000000001"/>
  </r>
  <r>
    <n v="1158"/>
    <d v="2023-06-07T00:00:00"/>
    <x v="5"/>
    <s v="2023"/>
    <n v="2779"/>
    <x v="2"/>
    <x v="3"/>
    <x v="4"/>
    <s v="Fresh"/>
    <n v="38"/>
    <n v="2.56"/>
    <n v="7.0000000000000007E-2"/>
    <x v="2"/>
    <x v="2"/>
    <n v="6"/>
    <n v="4.7"/>
    <n v="90.470399999999998"/>
  </r>
  <r>
    <n v="1159"/>
    <d v="2023-06-08T00:00:00"/>
    <x v="5"/>
    <s v="2023"/>
    <n v="2929"/>
    <x v="1"/>
    <x v="1"/>
    <x v="1"/>
    <s v="Organic"/>
    <n v="39"/>
    <n v="1.36"/>
    <n v="0.06"/>
    <x v="3"/>
    <x v="2"/>
    <n v="5"/>
    <n v="4.8"/>
    <n v="49.857600000000012"/>
  </r>
  <r>
    <n v="1160"/>
    <d v="2023-06-09T00:00:00"/>
    <x v="5"/>
    <s v="2023"/>
    <n v="2032"/>
    <x v="0"/>
    <x v="4"/>
    <x v="1"/>
    <s v="Imported"/>
    <n v="26"/>
    <n v="0.74"/>
    <n v="0.15"/>
    <x v="0"/>
    <x v="2"/>
    <n v="3"/>
    <n v="4.5999999999999996"/>
    <n v="16.353999999999999"/>
  </r>
  <r>
    <n v="1161"/>
    <d v="2023-06-10T00:00:00"/>
    <x v="5"/>
    <s v="2023"/>
    <n v="2047"/>
    <x v="2"/>
    <x v="5"/>
    <x v="0"/>
    <s v="Imported"/>
    <n v="46"/>
    <n v="2.2000000000000002"/>
    <n v="0.02"/>
    <x v="1"/>
    <x v="2"/>
    <n v="1"/>
    <n v="2.6"/>
    <n v="99.176000000000002"/>
  </r>
  <r>
    <n v="1162"/>
    <d v="2023-06-11T00:00:00"/>
    <x v="5"/>
    <s v="2023"/>
    <n v="2502"/>
    <x v="1"/>
    <x v="3"/>
    <x v="2"/>
    <s v="Fresh"/>
    <n v="15"/>
    <n v="2.13"/>
    <n v="0.05"/>
    <x v="2"/>
    <x v="0"/>
    <n v="5"/>
    <n v="4.5"/>
    <n v="30.352499999999999"/>
  </r>
  <r>
    <n v="1163"/>
    <d v="2023-06-12T00:00:00"/>
    <x v="5"/>
    <s v="2023"/>
    <n v="2406"/>
    <x v="2"/>
    <x v="1"/>
    <x v="0"/>
    <s v="Organic"/>
    <n v="34"/>
    <n v="4.9800000000000004"/>
    <n v="0.15"/>
    <x v="3"/>
    <x v="1"/>
    <n v="3"/>
    <n v="3.5"/>
    <n v="143.922"/>
  </r>
  <r>
    <n v="1164"/>
    <d v="2023-06-13T00:00:00"/>
    <x v="5"/>
    <s v="2023"/>
    <n v="2573"/>
    <x v="0"/>
    <x v="2"/>
    <x v="2"/>
    <s v="Imported"/>
    <n v="42"/>
    <n v="2.5099999999999998"/>
    <n v="0.11"/>
    <x v="0"/>
    <x v="1"/>
    <n v="4"/>
    <n v="4.7"/>
    <n v="93.823799999999991"/>
  </r>
  <r>
    <n v="1165"/>
    <d v="2023-06-14T00:00:00"/>
    <x v="5"/>
    <s v="2023"/>
    <n v="2727"/>
    <x v="2"/>
    <x v="5"/>
    <x v="0"/>
    <s v="Fresh"/>
    <n v="44"/>
    <n v="2"/>
    <n v="0.03"/>
    <x v="0"/>
    <x v="2"/>
    <n v="5"/>
    <n v="4.0999999999999996"/>
    <n v="85.36"/>
  </r>
  <r>
    <n v="1166"/>
    <d v="2023-06-15T00:00:00"/>
    <x v="5"/>
    <s v="2023"/>
    <n v="2804"/>
    <x v="2"/>
    <x v="5"/>
    <x v="0"/>
    <s v="Imported"/>
    <n v="49"/>
    <n v="3.11"/>
    <n v="0.18"/>
    <x v="1"/>
    <x v="1"/>
    <n v="5"/>
    <n v="4.5999999999999996"/>
    <n v="124.9598"/>
  </r>
  <r>
    <n v="1167"/>
    <d v="2023-06-16T00:00:00"/>
    <x v="5"/>
    <s v="2023"/>
    <n v="2098"/>
    <x v="2"/>
    <x v="4"/>
    <x v="0"/>
    <s v="Organic"/>
    <n v="40"/>
    <n v="0.9"/>
    <n v="0.08"/>
    <x v="1"/>
    <x v="1"/>
    <n v="2"/>
    <n v="3.7"/>
    <n v="33.119999999999997"/>
  </r>
  <r>
    <n v="1168"/>
    <d v="2023-06-17T00:00:00"/>
    <x v="5"/>
    <s v="2023"/>
    <n v="2683"/>
    <x v="2"/>
    <x v="5"/>
    <x v="2"/>
    <s v="Imported"/>
    <n v="11"/>
    <n v="4.83"/>
    <n v="0.17"/>
    <x v="1"/>
    <x v="1"/>
    <n v="4"/>
    <n v="3.8"/>
    <n v="44.097900000000003"/>
  </r>
  <r>
    <n v="1169"/>
    <d v="2023-06-18T00:00:00"/>
    <x v="5"/>
    <s v="2023"/>
    <n v="2871"/>
    <x v="0"/>
    <x v="3"/>
    <x v="2"/>
    <s v="Imported"/>
    <n v="3"/>
    <n v="3.36"/>
    <n v="0.16"/>
    <x v="3"/>
    <x v="2"/>
    <n v="1"/>
    <n v="2.9"/>
    <n v="8.4672000000000001"/>
  </r>
  <r>
    <n v="1170"/>
    <d v="2023-06-19T00:00:00"/>
    <x v="5"/>
    <s v="2023"/>
    <n v="2725"/>
    <x v="3"/>
    <x v="1"/>
    <x v="0"/>
    <s v="Imported"/>
    <n v="6"/>
    <n v="3.9"/>
    <n v="0.12"/>
    <x v="3"/>
    <x v="2"/>
    <n v="6"/>
    <n v="4.5"/>
    <n v="20.591999999999999"/>
  </r>
  <r>
    <n v="1171"/>
    <d v="2023-06-20T00:00:00"/>
    <x v="5"/>
    <s v="2023"/>
    <n v="2986"/>
    <x v="2"/>
    <x v="1"/>
    <x v="5"/>
    <s v="Imported"/>
    <n v="9"/>
    <n v="1.27"/>
    <n v="0.1"/>
    <x v="1"/>
    <x v="1"/>
    <n v="3"/>
    <n v="3.5"/>
    <n v="10.287000000000001"/>
  </r>
  <r>
    <n v="1172"/>
    <d v="2023-06-21T00:00:00"/>
    <x v="5"/>
    <s v="2023"/>
    <n v="2546"/>
    <x v="2"/>
    <x v="2"/>
    <x v="3"/>
    <s v="Fresh"/>
    <n v="6"/>
    <n v="2.34"/>
    <n v="0.2"/>
    <x v="2"/>
    <x v="1"/>
    <n v="2"/>
    <n v="3.8"/>
    <n v="11.231999999999999"/>
  </r>
  <r>
    <n v="1173"/>
    <d v="2023-06-22T00:00:00"/>
    <x v="5"/>
    <s v="2023"/>
    <n v="2960"/>
    <x v="1"/>
    <x v="4"/>
    <x v="3"/>
    <s v="Fresh"/>
    <n v="9"/>
    <n v="2.4"/>
    <n v="0.03"/>
    <x v="0"/>
    <x v="2"/>
    <n v="3"/>
    <n v="4.5"/>
    <n v="20.952000000000002"/>
  </r>
  <r>
    <n v="1174"/>
    <d v="2023-06-23T00:00:00"/>
    <x v="5"/>
    <s v="2023"/>
    <n v="2738"/>
    <x v="2"/>
    <x v="2"/>
    <x v="3"/>
    <s v="Organic"/>
    <n v="39"/>
    <n v="4.2"/>
    <n v="0.15"/>
    <x v="0"/>
    <x v="0"/>
    <n v="1"/>
    <n v="4"/>
    <n v="139.22999999999999"/>
  </r>
  <r>
    <n v="1175"/>
    <d v="2023-06-24T00:00:00"/>
    <x v="5"/>
    <s v="2023"/>
    <n v="2612"/>
    <x v="1"/>
    <x v="5"/>
    <x v="2"/>
    <s v="Fresh"/>
    <n v="31"/>
    <n v="0.51"/>
    <n v="0.04"/>
    <x v="3"/>
    <x v="1"/>
    <n v="1"/>
    <n v="3"/>
    <n v="15.1776"/>
  </r>
  <r>
    <n v="1176"/>
    <d v="2023-06-25T00:00:00"/>
    <x v="5"/>
    <s v="2023"/>
    <n v="2942"/>
    <x v="3"/>
    <x v="2"/>
    <x v="2"/>
    <s v="Fresh"/>
    <n v="32"/>
    <n v="1.85"/>
    <n v="7.0000000000000007E-2"/>
    <x v="0"/>
    <x v="0"/>
    <n v="5"/>
    <n v="4"/>
    <n v="55.055999999999997"/>
  </r>
  <r>
    <n v="1177"/>
    <d v="2023-06-26T00:00:00"/>
    <x v="5"/>
    <s v="2023"/>
    <n v="2461"/>
    <x v="0"/>
    <x v="3"/>
    <x v="5"/>
    <s v="Organic"/>
    <n v="41"/>
    <n v="4.92"/>
    <n v="0.06"/>
    <x v="2"/>
    <x v="1"/>
    <n v="1"/>
    <n v="3.5"/>
    <n v="189.61680000000001"/>
  </r>
  <r>
    <n v="1178"/>
    <d v="2023-06-27T00:00:00"/>
    <x v="5"/>
    <s v="2023"/>
    <n v="2642"/>
    <x v="0"/>
    <x v="1"/>
    <x v="3"/>
    <s v="Fresh"/>
    <n v="12"/>
    <n v="2.64"/>
    <n v="0.19"/>
    <x v="0"/>
    <x v="0"/>
    <n v="3"/>
    <n v="3.7"/>
    <n v="25.660799999999998"/>
  </r>
  <r>
    <n v="1179"/>
    <d v="2023-06-28T00:00:00"/>
    <x v="5"/>
    <s v="2023"/>
    <n v="2768"/>
    <x v="3"/>
    <x v="5"/>
    <x v="3"/>
    <s v="Fresh"/>
    <n v="8"/>
    <n v="2.2200000000000002"/>
    <n v="0.19"/>
    <x v="3"/>
    <x v="0"/>
    <n v="4"/>
    <n v="2.6"/>
    <n v="14.3856"/>
  </r>
  <r>
    <n v="1180"/>
    <d v="2023-06-29T00:00:00"/>
    <x v="5"/>
    <s v="2023"/>
    <n v="2004"/>
    <x v="0"/>
    <x v="2"/>
    <x v="0"/>
    <s v="Organic"/>
    <n v="8"/>
    <n v="1.04"/>
    <n v="0.04"/>
    <x v="3"/>
    <x v="0"/>
    <n v="4"/>
    <n v="3"/>
    <n v="7.9871999999999996"/>
  </r>
  <r>
    <n v="1181"/>
    <d v="2023-06-30T00:00:00"/>
    <x v="5"/>
    <s v="2023"/>
    <n v="2217"/>
    <x v="3"/>
    <x v="4"/>
    <x v="2"/>
    <s v="Organic"/>
    <n v="28"/>
    <n v="4.88"/>
    <n v="0"/>
    <x v="2"/>
    <x v="2"/>
    <n v="5"/>
    <n v="3.2"/>
    <n v="136.63999999999999"/>
  </r>
  <r>
    <n v="1182"/>
    <d v="2023-07-01T00:00:00"/>
    <x v="6"/>
    <s v="2023"/>
    <n v="2502"/>
    <x v="3"/>
    <x v="3"/>
    <x v="3"/>
    <s v="Organic"/>
    <n v="20"/>
    <n v="0.59"/>
    <n v="0.14000000000000001"/>
    <x v="2"/>
    <x v="0"/>
    <n v="6"/>
    <n v="4.3"/>
    <n v="10.148"/>
  </r>
  <r>
    <n v="1183"/>
    <d v="2023-07-02T00:00:00"/>
    <x v="6"/>
    <s v="2023"/>
    <n v="2766"/>
    <x v="3"/>
    <x v="3"/>
    <x v="1"/>
    <s v="Imported"/>
    <n v="47"/>
    <n v="3.82"/>
    <n v="0.08"/>
    <x v="0"/>
    <x v="0"/>
    <n v="3"/>
    <n v="2.5"/>
    <n v="165.17679999999999"/>
  </r>
  <r>
    <n v="1184"/>
    <d v="2023-07-03T00:00:00"/>
    <x v="6"/>
    <s v="2023"/>
    <n v="2397"/>
    <x v="0"/>
    <x v="2"/>
    <x v="5"/>
    <s v="Imported"/>
    <n v="7"/>
    <n v="3.96"/>
    <n v="0.02"/>
    <x v="0"/>
    <x v="0"/>
    <n v="3"/>
    <n v="3.5"/>
    <n v="27.165600000000001"/>
  </r>
  <r>
    <n v="1185"/>
    <d v="2023-07-04T00:00:00"/>
    <x v="6"/>
    <s v="2023"/>
    <n v="2870"/>
    <x v="1"/>
    <x v="1"/>
    <x v="1"/>
    <s v="Organic"/>
    <n v="11"/>
    <n v="1.6"/>
    <n v="0.14000000000000001"/>
    <x v="3"/>
    <x v="1"/>
    <n v="1"/>
    <n v="4.8"/>
    <n v="15.135999999999999"/>
  </r>
  <r>
    <n v="1186"/>
    <d v="2023-07-05T00:00:00"/>
    <x v="6"/>
    <s v="2023"/>
    <n v="2794"/>
    <x v="3"/>
    <x v="2"/>
    <x v="1"/>
    <s v="Organic"/>
    <n v="20"/>
    <n v="3.52"/>
    <n v="0.11"/>
    <x v="2"/>
    <x v="0"/>
    <n v="3"/>
    <n v="2.8"/>
    <n v="62.656000000000013"/>
  </r>
  <r>
    <n v="1187"/>
    <d v="2023-07-06T00:00:00"/>
    <x v="6"/>
    <s v="2023"/>
    <n v="2392"/>
    <x v="2"/>
    <x v="5"/>
    <x v="5"/>
    <s v="Organic"/>
    <n v="16"/>
    <n v="0.92"/>
    <n v="0.2"/>
    <x v="2"/>
    <x v="1"/>
    <n v="2"/>
    <n v="3.8"/>
    <n v="11.776"/>
  </r>
  <r>
    <n v="1188"/>
    <d v="2023-07-07T00:00:00"/>
    <x v="6"/>
    <s v="2023"/>
    <n v="2206"/>
    <x v="0"/>
    <x v="2"/>
    <x v="1"/>
    <s v="Imported"/>
    <n v="4"/>
    <n v="1.66"/>
    <n v="0.05"/>
    <x v="2"/>
    <x v="0"/>
    <n v="6"/>
    <n v="4.5"/>
    <n v="6.3079999999999998"/>
  </r>
  <r>
    <n v="1189"/>
    <d v="2023-07-08T00:00:00"/>
    <x v="6"/>
    <s v="2023"/>
    <n v="2014"/>
    <x v="3"/>
    <x v="3"/>
    <x v="3"/>
    <s v="Imported"/>
    <n v="6"/>
    <n v="4.05"/>
    <n v="0.08"/>
    <x v="0"/>
    <x v="0"/>
    <n v="1"/>
    <n v="4.9000000000000004"/>
    <n v="22.356000000000002"/>
  </r>
  <r>
    <n v="1190"/>
    <d v="2023-07-09T00:00:00"/>
    <x v="6"/>
    <s v="2023"/>
    <n v="2857"/>
    <x v="3"/>
    <x v="2"/>
    <x v="2"/>
    <s v="Fresh"/>
    <n v="22"/>
    <n v="4.3899999999999997"/>
    <n v="0.11"/>
    <x v="2"/>
    <x v="2"/>
    <n v="2"/>
    <n v="4.4000000000000004"/>
    <n v="85.956199999999995"/>
  </r>
  <r>
    <n v="1191"/>
    <d v="2023-07-10T00:00:00"/>
    <x v="6"/>
    <s v="2023"/>
    <n v="2553"/>
    <x v="2"/>
    <x v="1"/>
    <x v="5"/>
    <s v="Fresh"/>
    <n v="26"/>
    <n v="3.24"/>
    <n v="0.16"/>
    <x v="3"/>
    <x v="1"/>
    <n v="5"/>
    <n v="4.3"/>
    <n v="70.761600000000001"/>
  </r>
  <r>
    <n v="1192"/>
    <d v="2023-07-11T00:00:00"/>
    <x v="6"/>
    <s v="2023"/>
    <n v="2891"/>
    <x v="1"/>
    <x v="4"/>
    <x v="0"/>
    <s v="Organic"/>
    <n v="3"/>
    <n v="2.78"/>
    <n v="0.11"/>
    <x v="3"/>
    <x v="0"/>
    <n v="4"/>
    <n v="4.5999999999999996"/>
    <n v="7.4226000000000001"/>
  </r>
  <r>
    <n v="1193"/>
    <d v="2023-07-12T00:00:00"/>
    <x v="6"/>
    <s v="2023"/>
    <n v="2460"/>
    <x v="1"/>
    <x v="0"/>
    <x v="1"/>
    <s v="Imported"/>
    <n v="41"/>
    <n v="1.22"/>
    <n v="0.12"/>
    <x v="0"/>
    <x v="1"/>
    <n v="5"/>
    <n v="3.6"/>
    <n v="44.017599999999987"/>
  </r>
  <r>
    <n v="1194"/>
    <d v="2023-07-13T00:00:00"/>
    <x v="6"/>
    <s v="2023"/>
    <n v="2690"/>
    <x v="1"/>
    <x v="2"/>
    <x v="5"/>
    <s v="Imported"/>
    <n v="42"/>
    <n v="0.78"/>
    <n v="0.05"/>
    <x v="1"/>
    <x v="1"/>
    <n v="4"/>
    <n v="4.5"/>
    <n v="31.122"/>
  </r>
  <r>
    <n v="1195"/>
    <d v="2023-07-14T00:00:00"/>
    <x v="6"/>
    <s v="2023"/>
    <n v="2574"/>
    <x v="3"/>
    <x v="1"/>
    <x v="4"/>
    <s v="Imported"/>
    <n v="14"/>
    <n v="1.03"/>
    <n v="0.17"/>
    <x v="0"/>
    <x v="2"/>
    <n v="5"/>
    <n v="2.5"/>
    <n v="11.9686"/>
  </r>
  <r>
    <n v="1196"/>
    <d v="2023-07-15T00:00:00"/>
    <x v="6"/>
    <s v="2023"/>
    <n v="2863"/>
    <x v="3"/>
    <x v="1"/>
    <x v="4"/>
    <s v="Organic"/>
    <n v="11"/>
    <n v="1.52"/>
    <n v="0.09"/>
    <x v="1"/>
    <x v="2"/>
    <n v="3"/>
    <n v="4.8"/>
    <n v="15.215199999999999"/>
  </r>
  <r>
    <n v="1197"/>
    <d v="2023-07-16T00:00:00"/>
    <x v="6"/>
    <s v="2023"/>
    <n v="2742"/>
    <x v="3"/>
    <x v="4"/>
    <x v="2"/>
    <s v="Fresh"/>
    <n v="18"/>
    <n v="2.04"/>
    <n v="0.03"/>
    <x v="2"/>
    <x v="2"/>
    <n v="2"/>
    <n v="3.6"/>
    <n v="35.618400000000001"/>
  </r>
  <r>
    <n v="1198"/>
    <d v="2023-07-17T00:00:00"/>
    <x v="6"/>
    <s v="2023"/>
    <n v="2240"/>
    <x v="0"/>
    <x v="3"/>
    <x v="3"/>
    <s v="Organic"/>
    <n v="12"/>
    <n v="2.21"/>
    <n v="0.13"/>
    <x v="0"/>
    <x v="2"/>
    <n v="4"/>
    <n v="3.9"/>
    <n v="23.072399999999998"/>
  </r>
  <r>
    <n v="1199"/>
    <d v="2023-07-18T00:00:00"/>
    <x v="6"/>
    <s v="2023"/>
    <n v="2563"/>
    <x v="2"/>
    <x v="1"/>
    <x v="2"/>
    <s v="Fresh"/>
    <n v="23"/>
    <n v="2.06"/>
    <n v="0.04"/>
    <x v="3"/>
    <x v="2"/>
    <n v="1"/>
    <n v="3.1"/>
    <n v="45.4848"/>
  </r>
  <r>
    <n v="1200"/>
    <d v="2023-07-19T00:00:00"/>
    <x v="6"/>
    <s v="2023"/>
    <n v="2095"/>
    <x v="3"/>
    <x v="1"/>
    <x v="2"/>
    <s v="Fresh"/>
    <n v="12"/>
    <n v="1.58"/>
    <n v="0.02"/>
    <x v="2"/>
    <x v="2"/>
    <n v="2"/>
    <n v="4.4000000000000004"/>
    <n v="18.5808"/>
  </r>
  <r>
    <n v="1201"/>
    <d v="2023-07-20T00:00:00"/>
    <x v="6"/>
    <s v="2023"/>
    <n v="2899"/>
    <x v="2"/>
    <x v="1"/>
    <x v="2"/>
    <s v="Organic"/>
    <n v="13"/>
    <n v="2.79"/>
    <n v="0.17"/>
    <x v="3"/>
    <x v="2"/>
    <n v="1"/>
    <n v="2.7"/>
    <n v="30.104099999999999"/>
  </r>
  <r>
    <n v="1202"/>
    <d v="2023-07-21T00:00:00"/>
    <x v="6"/>
    <s v="2023"/>
    <n v="2733"/>
    <x v="2"/>
    <x v="1"/>
    <x v="2"/>
    <s v="Fresh"/>
    <n v="25"/>
    <n v="4.21"/>
    <n v="0.09"/>
    <x v="2"/>
    <x v="2"/>
    <n v="2"/>
    <n v="4.7"/>
    <n v="95.777500000000003"/>
  </r>
  <r>
    <n v="1203"/>
    <d v="2023-07-22T00:00:00"/>
    <x v="6"/>
    <s v="2023"/>
    <n v="2484"/>
    <x v="1"/>
    <x v="5"/>
    <x v="0"/>
    <s v="Fresh"/>
    <n v="45"/>
    <n v="1.76"/>
    <n v="0.15"/>
    <x v="0"/>
    <x v="0"/>
    <n v="2"/>
    <n v="4.5999999999999996"/>
    <n v="67.320000000000007"/>
  </r>
  <r>
    <n v="1204"/>
    <d v="2023-07-23T00:00:00"/>
    <x v="6"/>
    <s v="2023"/>
    <n v="2406"/>
    <x v="0"/>
    <x v="5"/>
    <x v="0"/>
    <s v="Imported"/>
    <n v="19"/>
    <n v="4.74"/>
    <n v="0.06"/>
    <x v="1"/>
    <x v="1"/>
    <n v="5"/>
    <n v="3"/>
    <n v="84.656399999999991"/>
  </r>
  <r>
    <n v="1205"/>
    <d v="2023-07-24T00:00:00"/>
    <x v="6"/>
    <s v="2023"/>
    <n v="2230"/>
    <x v="3"/>
    <x v="3"/>
    <x v="5"/>
    <s v="Fresh"/>
    <n v="46"/>
    <n v="4.43"/>
    <n v="0.16"/>
    <x v="2"/>
    <x v="2"/>
    <n v="4"/>
    <n v="4.5"/>
    <n v="171.17519999999999"/>
  </r>
  <r>
    <n v="1206"/>
    <d v="2023-07-25T00:00:00"/>
    <x v="6"/>
    <s v="2023"/>
    <n v="2748"/>
    <x v="1"/>
    <x v="2"/>
    <x v="4"/>
    <s v="Organic"/>
    <n v="36"/>
    <n v="1.23"/>
    <n v="0.02"/>
    <x v="1"/>
    <x v="2"/>
    <n v="4"/>
    <n v="4.5"/>
    <n v="43.394399999999997"/>
  </r>
  <r>
    <n v="1207"/>
    <d v="2023-07-26T00:00:00"/>
    <x v="6"/>
    <s v="2023"/>
    <n v="2654"/>
    <x v="1"/>
    <x v="1"/>
    <x v="2"/>
    <s v="Organic"/>
    <n v="45"/>
    <n v="4.04"/>
    <n v="7.0000000000000007E-2"/>
    <x v="2"/>
    <x v="1"/>
    <n v="2"/>
    <n v="4.0999999999999996"/>
    <n v="169.07400000000001"/>
  </r>
  <r>
    <n v="1208"/>
    <d v="2023-07-27T00:00:00"/>
    <x v="6"/>
    <s v="2023"/>
    <n v="2170"/>
    <x v="3"/>
    <x v="4"/>
    <x v="5"/>
    <s v="Fresh"/>
    <n v="8"/>
    <n v="3.09"/>
    <n v="0.2"/>
    <x v="3"/>
    <x v="0"/>
    <n v="3"/>
    <n v="3.4"/>
    <n v="19.776"/>
  </r>
  <r>
    <n v="1209"/>
    <d v="2023-07-28T00:00:00"/>
    <x v="6"/>
    <s v="2023"/>
    <n v="2540"/>
    <x v="2"/>
    <x v="2"/>
    <x v="4"/>
    <s v="Imported"/>
    <n v="29"/>
    <n v="3.05"/>
    <n v="0.16"/>
    <x v="3"/>
    <x v="1"/>
    <n v="3"/>
    <n v="3.2"/>
    <n v="74.297999999999988"/>
  </r>
  <r>
    <n v="1210"/>
    <d v="2023-07-29T00:00:00"/>
    <x v="6"/>
    <s v="2023"/>
    <n v="2035"/>
    <x v="1"/>
    <x v="4"/>
    <x v="1"/>
    <s v="Imported"/>
    <n v="32"/>
    <n v="2.2599999999999998"/>
    <n v="0.1"/>
    <x v="2"/>
    <x v="1"/>
    <n v="1"/>
    <n v="3.1"/>
    <n v="65.087999999999994"/>
  </r>
  <r>
    <n v="1211"/>
    <d v="2023-07-30T00:00:00"/>
    <x v="6"/>
    <s v="2023"/>
    <n v="2524"/>
    <x v="2"/>
    <x v="2"/>
    <x v="3"/>
    <s v="Fresh"/>
    <n v="44"/>
    <n v="2.76"/>
    <n v="7.0000000000000007E-2"/>
    <x v="1"/>
    <x v="2"/>
    <n v="1"/>
    <n v="3.3"/>
    <n v="112.9392"/>
  </r>
  <r>
    <n v="1212"/>
    <d v="2023-07-31T00:00:00"/>
    <x v="6"/>
    <s v="2023"/>
    <n v="2159"/>
    <x v="0"/>
    <x v="3"/>
    <x v="0"/>
    <s v="Fresh"/>
    <n v="18"/>
    <n v="2.29"/>
    <n v="0.17"/>
    <x v="0"/>
    <x v="1"/>
    <n v="5"/>
    <n v="4.8"/>
    <n v="34.212599999999988"/>
  </r>
  <r>
    <n v="1213"/>
    <d v="2023-08-01T00:00:00"/>
    <x v="7"/>
    <s v="2023"/>
    <n v="2838"/>
    <x v="2"/>
    <x v="1"/>
    <x v="1"/>
    <s v="Organic"/>
    <n v="6"/>
    <n v="2.93"/>
    <n v="0.11"/>
    <x v="0"/>
    <x v="1"/>
    <n v="2"/>
    <n v="2.7"/>
    <n v="15.6462"/>
  </r>
  <r>
    <n v="1214"/>
    <d v="2023-08-02T00:00:00"/>
    <x v="7"/>
    <s v="2023"/>
    <n v="2698"/>
    <x v="0"/>
    <x v="1"/>
    <x v="4"/>
    <s v="Fresh"/>
    <n v="18"/>
    <n v="3.33"/>
    <n v="0.15"/>
    <x v="3"/>
    <x v="2"/>
    <n v="1"/>
    <n v="4.5999999999999996"/>
    <n v="50.948999999999998"/>
  </r>
  <r>
    <n v="1215"/>
    <d v="2023-08-03T00:00:00"/>
    <x v="7"/>
    <s v="2023"/>
    <n v="2242"/>
    <x v="2"/>
    <x v="0"/>
    <x v="1"/>
    <s v="Imported"/>
    <n v="19"/>
    <n v="3.53"/>
    <n v="0.15"/>
    <x v="0"/>
    <x v="2"/>
    <n v="1"/>
    <n v="3.4"/>
    <n v="57.009500000000003"/>
  </r>
  <r>
    <n v="1216"/>
    <d v="2023-08-04T00:00:00"/>
    <x v="7"/>
    <s v="2023"/>
    <n v="2085"/>
    <x v="1"/>
    <x v="4"/>
    <x v="3"/>
    <s v="Fresh"/>
    <n v="22"/>
    <n v="2.9"/>
    <n v="0"/>
    <x v="3"/>
    <x v="2"/>
    <n v="6"/>
    <n v="3.8"/>
    <n v="63.8"/>
  </r>
  <r>
    <n v="1217"/>
    <d v="2023-08-05T00:00:00"/>
    <x v="7"/>
    <s v="2023"/>
    <n v="2795"/>
    <x v="1"/>
    <x v="2"/>
    <x v="4"/>
    <s v="Organic"/>
    <n v="37"/>
    <n v="3.75"/>
    <n v="0.03"/>
    <x v="0"/>
    <x v="2"/>
    <n v="2"/>
    <n v="4.5"/>
    <n v="134.58750000000001"/>
  </r>
  <r>
    <n v="1218"/>
    <d v="2023-08-06T00:00:00"/>
    <x v="7"/>
    <s v="2023"/>
    <n v="2577"/>
    <x v="0"/>
    <x v="2"/>
    <x v="1"/>
    <s v="Organic"/>
    <n v="32"/>
    <n v="1.1399999999999999"/>
    <n v="0.13"/>
    <x v="2"/>
    <x v="1"/>
    <n v="5"/>
    <n v="4.7"/>
    <n v="31.7376"/>
  </r>
  <r>
    <n v="1219"/>
    <d v="2023-08-07T00:00:00"/>
    <x v="7"/>
    <s v="2023"/>
    <n v="2681"/>
    <x v="3"/>
    <x v="5"/>
    <x v="0"/>
    <s v="Organic"/>
    <n v="41"/>
    <n v="1.45"/>
    <n v="0.03"/>
    <x v="3"/>
    <x v="1"/>
    <n v="1"/>
    <n v="3.4"/>
    <n v="57.666499999999992"/>
  </r>
  <r>
    <n v="1220"/>
    <d v="2023-08-08T00:00:00"/>
    <x v="7"/>
    <s v="2023"/>
    <n v="2556"/>
    <x v="0"/>
    <x v="0"/>
    <x v="0"/>
    <s v="Organic"/>
    <n v="3"/>
    <n v="4.18"/>
    <n v="0.05"/>
    <x v="3"/>
    <x v="0"/>
    <n v="5"/>
    <n v="3.7"/>
    <n v="11.913"/>
  </r>
  <r>
    <n v="1221"/>
    <d v="2023-08-09T00:00:00"/>
    <x v="7"/>
    <s v="2023"/>
    <n v="2573"/>
    <x v="0"/>
    <x v="5"/>
    <x v="5"/>
    <s v="Organic"/>
    <n v="28"/>
    <n v="1.95"/>
    <n v="0.19"/>
    <x v="2"/>
    <x v="0"/>
    <n v="4"/>
    <n v="3.5"/>
    <n v="44.226000000000013"/>
  </r>
  <r>
    <n v="1222"/>
    <d v="2023-08-10T00:00:00"/>
    <x v="7"/>
    <s v="2023"/>
    <n v="2952"/>
    <x v="2"/>
    <x v="5"/>
    <x v="1"/>
    <s v="Fresh"/>
    <n v="10"/>
    <n v="0.6"/>
    <n v="0.11"/>
    <x v="3"/>
    <x v="1"/>
    <n v="5"/>
    <n v="2.5"/>
    <n v="5.34"/>
  </r>
  <r>
    <n v="1223"/>
    <d v="2023-08-11T00:00:00"/>
    <x v="7"/>
    <s v="2023"/>
    <n v="2645"/>
    <x v="2"/>
    <x v="5"/>
    <x v="2"/>
    <s v="Fresh"/>
    <n v="35"/>
    <n v="1.19"/>
    <n v="0.15"/>
    <x v="0"/>
    <x v="0"/>
    <n v="3"/>
    <n v="3.2"/>
    <n v="35.402500000000003"/>
  </r>
  <r>
    <n v="1224"/>
    <d v="2023-08-12T00:00:00"/>
    <x v="7"/>
    <s v="2023"/>
    <n v="2795"/>
    <x v="0"/>
    <x v="4"/>
    <x v="1"/>
    <s v="Fresh"/>
    <n v="29"/>
    <n v="1.51"/>
    <n v="0.11"/>
    <x v="0"/>
    <x v="1"/>
    <n v="3"/>
    <n v="3.6"/>
    <n v="38.973100000000002"/>
  </r>
  <r>
    <n v="1225"/>
    <d v="2023-08-13T00:00:00"/>
    <x v="7"/>
    <s v="2023"/>
    <n v="2027"/>
    <x v="1"/>
    <x v="4"/>
    <x v="4"/>
    <s v="Fresh"/>
    <n v="15"/>
    <n v="4.8099999999999996"/>
    <n v="0.11"/>
    <x v="3"/>
    <x v="0"/>
    <n v="5"/>
    <n v="3.5"/>
    <n v="64.213499999999996"/>
  </r>
  <r>
    <n v="1226"/>
    <d v="2023-08-14T00:00:00"/>
    <x v="7"/>
    <s v="2023"/>
    <n v="2619"/>
    <x v="2"/>
    <x v="3"/>
    <x v="4"/>
    <s v="Organic"/>
    <n v="33"/>
    <n v="3.08"/>
    <n v="0.02"/>
    <x v="0"/>
    <x v="2"/>
    <n v="3"/>
    <n v="4.3"/>
    <n v="99.607199999999992"/>
  </r>
  <r>
    <n v="1227"/>
    <d v="2023-08-15T00:00:00"/>
    <x v="7"/>
    <s v="2023"/>
    <n v="2555"/>
    <x v="3"/>
    <x v="3"/>
    <x v="1"/>
    <s v="Imported"/>
    <n v="7"/>
    <n v="4.7"/>
    <n v="7.0000000000000007E-2"/>
    <x v="1"/>
    <x v="0"/>
    <n v="4"/>
    <n v="3.5"/>
    <n v="30.597000000000001"/>
  </r>
  <r>
    <n v="1228"/>
    <d v="2023-08-16T00:00:00"/>
    <x v="7"/>
    <s v="2023"/>
    <n v="2339"/>
    <x v="2"/>
    <x v="5"/>
    <x v="3"/>
    <s v="Fresh"/>
    <n v="12"/>
    <n v="3.09"/>
    <n v="0.06"/>
    <x v="3"/>
    <x v="2"/>
    <n v="2"/>
    <n v="3.7"/>
    <n v="34.855200000000004"/>
  </r>
  <r>
    <n v="1229"/>
    <d v="2023-08-17T00:00:00"/>
    <x v="7"/>
    <s v="2023"/>
    <n v="2797"/>
    <x v="2"/>
    <x v="0"/>
    <x v="0"/>
    <s v="Imported"/>
    <n v="49"/>
    <n v="2.66"/>
    <n v="0.08"/>
    <x v="2"/>
    <x v="2"/>
    <n v="3"/>
    <n v="3.6"/>
    <n v="119.9128"/>
  </r>
  <r>
    <n v="1230"/>
    <d v="2023-08-18T00:00:00"/>
    <x v="7"/>
    <s v="2023"/>
    <n v="2957"/>
    <x v="3"/>
    <x v="2"/>
    <x v="4"/>
    <s v="Fresh"/>
    <n v="30"/>
    <n v="1.91"/>
    <n v="0.16"/>
    <x v="1"/>
    <x v="2"/>
    <n v="3"/>
    <n v="4.4000000000000004"/>
    <n v="48.131999999999998"/>
  </r>
  <r>
    <n v="1231"/>
    <d v="2023-08-19T00:00:00"/>
    <x v="7"/>
    <s v="2023"/>
    <n v="2330"/>
    <x v="0"/>
    <x v="4"/>
    <x v="0"/>
    <s v="Fresh"/>
    <n v="21"/>
    <n v="3.23"/>
    <n v="7.0000000000000007E-2"/>
    <x v="3"/>
    <x v="2"/>
    <n v="5"/>
    <n v="4.7"/>
    <n v="63.081899999999997"/>
  </r>
  <r>
    <n v="1232"/>
    <d v="2023-08-20T00:00:00"/>
    <x v="7"/>
    <s v="2023"/>
    <n v="2639"/>
    <x v="3"/>
    <x v="0"/>
    <x v="4"/>
    <s v="Imported"/>
    <n v="31"/>
    <n v="1.1299999999999999"/>
    <n v="0.09"/>
    <x v="2"/>
    <x v="0"/>
    <n v="4"/>
    <n v="3.8"/>
    <n v="31.877299999999991"/>
  </r>
  <r>
    <n v="1233"/>
    <d v="2023-08-21T00:00:00"/>
    <x v="7"/>
    <s v="2023"/>
    <n v="2505"/>
    <x v="0"/>
    <x v="1"/>
    <x v="5"/>
    <s v="Organic"/>
    <n v="24"/>
    <n v="4.54"/>
    <n v="0.08"/>
    <x v="0"/>
    <x v="1"/>
    <n v="2"/>
    <n v="4.5"/>
    <n v="100.2432"/>
  </r>
  <r>
    <n v="1234"/>
    <d v="2023-08-22T00:00:00"/>
    <x v="7"/>
    <s v="2023"/>
    <n v="2347"/>
    <x v="0"/>
    <x v="4"/>
    <x v="2"/>
    <s v="Fresh"/>
    <n v="20"/>
    <n v="4.2300000000000004"/>
    <n v="0.02"/>
    <x v="2"/>
    <x v="2"/>
    <n v="5"/>
    <n v="3.2"/>
    <n v="82.908000000000001"/>
  </r>
  <r>
    <n v="1235"/>
    <d v="2023-08-23T00:00:00"/>
    <x v="7"/>
    <s v="2023"/>
    <n v="2472"/>
    <x v="0"/>
    <x v="4"/>
    <x v="4"/>
    <s v="Fresh"/>
    <n v="37"/>
    <n v="1.93"/>
    <n v="0.09"/>
    <x v="1"/>
    <x v="0"/>
    <n v="5"/>
    <n v="3.9"/>
    <n v="64.983099999999993"/>
  </r>
  <r>
    <n v="1236"/>
    <d v="2023-08-24T00:00:00"/>
    <x v="7"/>
    <s v="2023"/>
    <n v="2230"/>
    <x v="3"/>
    <x v="3"/>
    <x v="0"/>
    <s v="Fresh"/>
    <n v="4"/>
    <n v="4.79"/>
    <n v="0.04"/>
    <x v="0"/>
    <x v="2"/>
    <n v="6"/>
    <n v="3.4"/>
    <n v="18.393599999999999"/>
  </r>
  <r>
    <n v="1237"/>
    <d v="2023-08-25T00:00:00"/>
    <x v="7"/>
    <s v="2023"/>
    <n v="2189"/>
    <x v="0"/>
    <x v="2"/>
    <x v="5"/>
    <s v="Imported"/>
    <n v="28"/>
    <n v="4.21"/>
    <n v="0.04"/>
    <x v="3"/>
    <x v="0"/>
    <n v="4"/>
    <n v="3.5"/>
    <n v="113.1648"/>
  </r>
  <r>
    <n v="1238"/>
    <d v="2023-08-26T00:00:00"/>
    <x v="7"/>
    <s v="2023"/>
    <n v="2224"/>
    <x v="1"/>
    <x v="2"/>
    <x v="4"/>
    <s v="Organic"/>
    <n v="44"/>
    <n v="3.5"/>
    <n v="0.02"/>
    <x v="0"/>
    <x v="0"/>
    <n v="2"/>
    <n v="4.3"/>
    <n v="150.91999999999999"/>
  </r>
  <r>
    <n v="1239"/>
    <d v="2023-08-27T00:00:00"/>
    <x v="7"/>
    <s v="2023"/>
    <n v="2384"/>
    <x v="3"/>
    <x v="1"/>
    <x v="3"/>
    <s v="Imported"/>
    <n v="20"/>
    <n v="1.05"/>
    <n v="7.0000000000000007E-2"/>
    <x v="3"/>
    <x v="0"/>
    <n v="4"/>
    <n v="4.7"/>
    <n v="19.53"/>
  </r>
  <r>
    <n v="1240"/>
    <d v="2023-08-28T00:00:00"/>
    <x v="7"/>
    <s v="2023"/>
    <n v="2376"/>
    <x v="1"/>
    <x v="1"/>
    <x v="2"/>
    <s v="Imported"/>
    <n v="24"/>
    <n v="2.65"/>
    <n v="0.15"/>
    <x v="3"/>
    <x v="1"/>
    <n v="2"/>
    <n v="2.8"/>
    <n v="54.06"/>
  </r>
  <r>
    <n v="1241"/>
    <d v="2023-08-29T00:00:00"/>
    <x v="7"/>
    <s v="2023"/>
    <n v="2282"/>
    <x v="0"/>
    <x v="4"/>
    <x v="4"/>
    <s v="Organic"/>
    <n v="49"/>
    <n v="2.78"/>
    <n v="0.06"/>
    <x v="2"/>
    <x v="0"/>
    <n v="4"/>
    <n v="4.0999999999999996"/>
    <n v="128.04679999999999"/>
  </r>
  <r>
    <n v="1242"/>
    <d v="2023-08-30T00:00:00"/>
    <x v="7"/>
    <s v="2023"/>
    <n v="2957"/>
    <x v="2"/>
    <x v="5"/>
    <x v="5"/>
    <s v="Imported"/>
    <n v="32"/>
    <n v="1.55"/>
    <n v="0.06"/>
    <x v="2"/>
    <x v="0"/>
    <n v="5"/>
    <n v="4"/>
    <n v="46.624000000000002"/>
  </r>
  <r>
    <n v="1243"/>
    <d v="2023-08-31T00:00:00"/>
    <x v="7"/>
    <s v="2023"/>
    <n v="2632"/>
    <x v="0"/>
    <x v="3"/>
    <x v="3"/>
    <s v="Organic"/>
    <n v="41"/>
    <n v="0.86"/>
    <n v="0.13"/>
    <x v="2"/>
    <x v="1"/>
    <n v="5"/>
    <n v="2.8"/>
    <n v="30.676200000000001"/>
  </r>
  <r>
    <n v="1244"/>
    <d v="2023-09-01T00:00:00"/>
    <x v="8"/>
    <s v="2023"/>
    <n v="2627"/>
    <x v="1"/>
    <x v="3"/>
    <x v="1"/>
    <s v="Fresh"/>
    <n v="36"/>
    <n v="4"/>
    <n v="0.04"/>
    <x v="1"/>
    <x v="1"/>
    <n v="1"/>
    <n v="3"/>
    <n v="138.24"/>
  </r>
  <r>
    <n v="1245"/>
    <d v="2023-09-02T00:00:00"/>
    <x v="8"/>
    <s v="2023"/>
    <n v="2972"/>
    <x v="1"/>
    <x v="4"/>
    <x v="5"/>
    <s v="Organic"/>
    <n v="34"/>
    <n v="1.05"/>
    <n v="0.18"/>
    <x v="1"/>
    <x v="0"/>
    <n v="3"/>
    <n v="3.3"/>
    <n v="29.274000000000001"/>
  </r>
  <r>
    <n v="1246"/>
    <d v="2023-09-03T00:00:00"/>
    <x v="8"/>
    <s v="2023"/>
    <n v="2744"/>
    <x v="3"/>
    <x v="0"/>
    <x v="5"/>
    <s v="Fresh"/>
    <n v="36"/>
    <n v="3.17"/>
    <n v="0.1"/>
    <x v="2"/>
    <x v="1"/>
    <n v="6"/>
    <n v="2.9"/>
    <n v="102.708"/>
  </r>
  <r>
    <n v="1247"/>
    <d v="2023-09-04T00:00:00"/>
    <x v="8"/>
    <s v="2023"/>
    <n v="2258"/>
    <x v="2"/>
    <x v="5"/>
    <x v="3"/>
    <s v="Imported"/>
    <n v="2"/>
    <n v="4.71"/>
    <n v="0.09"/>
    <x v="1"/>
    <x v="2"/>
    <n v="4"/>
    <n v="3.1"/>
    <n v="8.5722000000000005"/>
  </r>
  <r>
    <n v="1248"/>
    <d v="2023-09-05T00:00:00"/>
    <x v="8"/>
    <s v="2023"/>
    <n v="2358"/>
    <x v="3"/>
    <x v="4"/>
    <x v="5"/>
    <s v="Imported"/>
    <n v="15"/>
    <n v="4.4400000000000004"/>
    <n v="0.11"/>
    <x v="0"/>
    <x v="2"/>
    <n v="6"/>
    <n v="3.2"/>
    <n v="59.274000000000008"/>
  </r>
  <r>
    <n v="1249"/>
    <d v="2023-09-06T00:00:00"/>
    <x v="8"/>
    <s v="2023"/>
    <n v="2709"/>
    <x v="1"/>
    <x v="5"/>
    <x v="3"/>
    <s v="Fresh"/>
    <n v="34"/>
    <n v="1.75"/>
    <n v="0.03"/>
    <x v="0"/>
    <x v="1"/>
    <n v="1"/>
    <n v="3.3"/>
    <n v="57.715000000000003"/>
  </r>
  <r>
    <n v="1250"/>
    <d v="2023-09-07T00:00:00"/>
    <x v="8"/>
    <s v="2023"/>
    <n v="2455"/>
    <x v="0"/>
    <x v="5"/>
    <x v="4"/>
    <s v="Imported"/>
    <n v="36"/>
    <n v="4.33"/>
    <n v="0.12"/>
    <x v="1"/>
    <x v="1"/>
    <n v="3"/>
    <n v="4.4000000000000004"/>
    <n v="137.17439999999999"/>
  </r>
  <r>
    <n v="1251"/>
    <d v="2023-09-08T00:00:00"/>
    <x v="8"/>
    <s v="2023"/>
    <n v="2410"/>
    <x v="2"/>
    <x v="5"/>
    <x v="3"/>
    <s v="Organic"/>
    <n v="6"/>
    <n v="0.5"/>
    <n v="7.0000000000000007E-2"/>
    <x v="1"/>
    <x v="0"/>
    <n v="4"/>
    <n v="3.9"/>
    <n v="2.79"/>
  </r>
  <r>
    <n v="1252"/>
    <d v="2023-09-09T00:00:00"/>
    <x v="8"/>
    <s v="2023"/>
    <n v="2648"/>
    <x v="0"/>
    <x v="4"/>
    <x v="3"/>
    <s v="Fresh"/>
    <n v="39"/>
    <n v="0.57999999999999996"/>
    <n v="0.18"/>
    <x v="0"/>
    <x v="1"/>
    <n v="2"/>
    <n v="5"/>
    <n v="18.548400000000001"/>
  </r>
  <r>
    <n v="1253"/>
    <d v="2023-09-10T00:00:00"/>
    <x v="8"/>
    <s v="2023"/>
    <n v="2317"/>
    <x v="0"/>
    <x v="3"/>
    <x v="2"/>
    <s v="Imported"/>
    <n v="42"/>
    <n v="3.21"/>
    <n v="0.03"/>
    <x v="3"/>
    <x v="0"/>
    <n v="3"/>
    <n v="3.5"/>
    <n v="130.77539999999999"/>
  </r>
  <r>
    <n v="1254"/>
    <d v="2023-09-11T00:00:00"/>
    <x v="8"/>
    <s v="2023"/>
    <n v="2676"/>
    <x v="2"/>
    <x v="3"/>
    <x v="3"/>
    <s v="Fresh"/>
    <n v="12"/>
    <n v="2.14"/>
    <n v="0.1"/>
    <x v="0"/>
    <x v="2"/>
    <n v="5"/>
    <n v="4.4000000000000004"/>
    <n v="23.111999999999998"/>
  </r>
  <r>
    <n v="1255"/>
    <d v="2023-09-12T00:00:00"/>
    <x v="8"/>
    <s v="2023"/>
    <n v="2224"/>
    <x v="3"/>
    <x v="5"/>
    <x v="3"/>
    <s v="Organic"/>
    <n v="3"/>
    <n v="2.2400000000000002"/>
    <n v="0.12"/>
    <x v="0"/>
    <x v="1"/>
    <n v="1"/>
    <n v="4.7"/>
    <n v="5.9136000000000006"/>
  </r>
  <r>
    <n v="1256"/>
    <d v="2023-09-13T00:00:00"/>
    <x v="8"/>
    <s v="2023"/>
    <n v="2818"/>
    <x v="0"/>
    <x v="0"/>
    <x v="1"/>
    <s v="Organic"/>
    <n v="45"/>
    <n v="3.04"/>
    <n v="0.01"/>
    <x v="1"/>
    <x v="0"/>
    <n v="3"/>
    <n v="4.2"/>
    <n v="135.43199999999999"/>
  </r>
  <r>
    <n v="1257"/>
    <d v="2023-09-14T00:00:00"/>
    <x v="8"/>
    <s v="2023"/>
    <n v="2233"/>
    <x v="1"/>
    <x v="2"/>
    <x v="4"/>
    <s v="Imported"/>
    <n v="18"/>
    <n v="1.36"/>
    <n v="7.0000000000000007E-2"/>
    <x v="0"/>
    <x v="0"/>
    <n v="3"/>
    <n v="3.5"/>
    <n v="22.766400000000001"/>
  </r>
  <r>
    <n v="1258"/>
    <d v="2023-09-15T00:00:00"/>
    <x v="8"/>
    <s v="2023"/>
    <n v="2683"/>
    <x v="0"/>
    <x v="4"/>
    <x v="2"/>
    <s v="Organic"/>
    <n v="40"/>
    <n v="1.45"/>
    <n v="0.15"/>
    <x v="1"/>
    <x v="2"/>
    <n v="5"/>
    <n v="4.4000000000000004"/>
    <n v="49.3"/>
  </r>
  <r>
    <n v="1259"/>
    <d v="2023-09-16T00:00:00"/>
    <x v="8"/>
    <s v="2023"/>
    <n v="2663"/>
    <x v="2"/>
    <x v="2"/>
    <x v="1"/>
    <s v="Fresh"/>
    <n v="21"/>
    <n v="2.68"/>
    <n v="0.16"/>
    <x v="1"/>
    <x v="1"/>
    <n v="4"/>
    <n v="3"/>
    <n v="47.275199999999998"/>
  </r>
  <r>
    <n v="1260"/>
    <d v="2023-09-17T00:00:00"/>
    <x v="8"/>
    <s v="2023"/>
    <n v="2974"/>
    <x v="2"/>
    <x v="0"/>
    <x v="0"/>
    <s v="Organic"/>
    <n v="15"/>
    <n v="3.89"/>
    <n v="0.06"/>
    <x v="2"/>
    <x v="2"/>
    <n v="2"/>
    <n v="3.3"/>
    <n v="54.848999999999997"/>
  </r>
  <r>
    <n v="1261"/>
    <d v="2023-09-18T00:00:00"/>
    <x v="8"/>
    <s v="2023"/>
    <n v="2826"/>
    <x v="2"/>
    <x v="4"/>
    <x v="4"/>
    <s v="Fresh"/>
    <n v="33"/>
    <n v="3.29"/>
    <n v="0.16"/>
    <x v="0"/>
    <x v="0"/>
    <n v="5"/>
    <n v="3.9"/>
    <n v="91.198800000000006"/>
  </r>
  <r>
    <n v="1262"/>
    <d v="2023-09-19T00:00:00"/>
    <x v="8"/>
    <s v="2023"/>
    <n v="2373"/>
    <x v="3"/>
    <x v="5"/>
    <x v="4"/>
    <s v="Fresh"/>
    <n v="35"/>
    <n v="1.84"/>
    <n v="0.19"/>
    <x v="3"/>
    <x v="0"/>
    <n v="2"/>
    <n v="3.9"/>
    <n v="52.164000000000009"/>
  </r>
  <r>
    <n v="1263"/>
    <d v="2023-09-20T00:00:00"/>
    <x v="8"/>
    <s v="2023"/>
    <n v="2671"/>
    <x v="0"/>
    <x v="3"/>
    <x v="0"/>
    <s v="Organic"/>
    <n v="26"/>
    <n v="2.44"/>
    <n v="0.17"/>
    <x v="2"/>
    <x v="1"/>
    <n v="4"/>
    <n v="2.6"/>
    <n v="52.655199999999986"/>
  </r>
  <r>
    <n v="1264"/>
    <d v="2023-09-21T00:00:00"/>
    <x v="8"/>
    <s v="2023"/>
    <n v="2607"/>
    <x v="3"/>
    <x v="2"/>
    <x v="3"/>
    <s v="Imported"/>
    <n v="8"/>
    <n v="1.27"/>
    <n v="0.02"/>
    <x v="1"/>
    <x v="0"/>
    <n v="3"/>
    <n v="4.9000000000000004"/>
    <n v="9.9567999999999994"/>
  </r>
  <r>
    <n v="1265"/>
    <d v="2023-09-22T00:00:00"/>
    <x v="8"/>
    <s v="2023"/>
    <n v="2471"/>
    <x v="3"/>
    <x v="1"/>
    <x v="1"/>
    <s v="Organic"/>
    <n v="36"/>
    <n v="0.84"/>
    <n v="0.15"/>
    <x v="1"/>
    <x v="1"/>
    <n v="2"/>
    <n v="4.2"/>
    <n v="25.704000000000001"/>
  </r>
  <r>
    <n v="1266"/>
    <d v="2023-09-23T00:00:00"/>
    <x v="8"/>
    <s v="2023"/>
    <n v="2232"/>
    <x v="2"/>
    <x v="1"/>
    <x v="5"/>
    <s v="Fresh"/>
    <n v="48"/>
    <n v="4.0199999999999996"/>
    <n v="0.06"/>
    <x v="3"/>
    <x v="2"/>
    <n v="1"/>
    <n v="3.7"/>
    <n v="181.38239999999999"/>
  </r>
  <r>
    <n v="1267"/>
    <d v="2023-09-24T00:00:00"/>
    <x v="8"/>
    <s v="2023"/>
    <n v="2691"/>
    <x v="2"/>
    <x v="0"/>
    <x v="2"/>
    <s v="Fresh"/>
    <n v="30"/>
    <n v="1.69"/>
    <n v="0.2"/>
    <x v="1"/>
    <x v="1"/>
    <n v="1"/>
    <n v="4.8"/>
    <n v="40.56"/>
  </r>
  <r>
    <n v="1268"/>
    <d v="2023-09-25T00:00:00"/>
    <x v="8"/>
    <s v="2023"/>
    <n v="2112"/>
    <x v="3"/>
    <x v="5"/>
    <x v="5"/>
    <s v="Organic"/>
    <n v="23"/>
    <n v="1.3"/>
    <n v="0.1"/>
    <x v="0"/>
    <x v="1"/>
    <n v="5"/>
    <n v="3.6"/>
    <n v="26.91"/>
  </r>
  <r>
    <n v="1269"/>
    <d v="2023-09-26T00:00:00"/>
    <x v="8"/>
    <s v="2023"/>
    <n v="2829"/>
    <x v="0"/>
    <x v="2"/>
    <x v="0"/>
    <s v="Imported"/>
    <n v="42"/>
    <n v="3.61"/>
    <n v="0.02"/>
    <x v="2"/>
    <x v="0"/>
    <n v="4"/>
    <n v="5"/>
    <n v="148.58760000000001"/>
  </r>
  <r>
    <n v="1270"/>
    <d v="2023-09-27T00:00:00"/>
    <x v="8"/>
    <s v="2023"/>
    <n v="2496"/>
    <x v="1"/>
    <x v="5"/>
    <x v="4"/>
    <s v="Imported"/>
    <n v="44"/>
    <n v="3.28"/>
    <n v="0.15"/>
    <x v="1"/>
    <x v="0"/>
    <n v="5"/>
    <n v="3.8"/>
    <n v="122.672"/>
  </r>
  <r>
    <n v="1271"/>
    <d v="2023-09-28T00:00:00"/>
    <x v="8"/>
    <s v="2023"/>
    <n v="2441"/>
    <x v="3"/>
    <x v="2"/>
    <x v="4"/>
    <s v="Fresh"/>
    <n v="14"/>
    <n v="3.35"/>
    <n v="0.06"/>
    <x v="1"/>
    <x v="1"/>
    <n v="5"/>
    <n v="2.8"/>
    <n v="44.085999999999999"/>
  </r>
  <r>
    <n v="1272"/>
    <d v="2023-09-29T00:00:00"/>
    <x v="8"/>
    <s v="2023"/>
    <n v="2563"/>
    <x v="0"/>
    <x v="0"/>
    <x v="2"/>
    <s v="Fresh"/>
    <n v="14"/>
    <n v="1.53"/>
    <n v="0.2"/>
    <x v="3"/>
    <x v="0"/>
    <n v="6"/>
    <n v="4.4000000000000004"/>
    <n v="17.135999999999999"/>
  </r>
  <r>
    <n v="1273"/>
    <d v="2023-09-30T00:00:00"/>
    <x v="8"/>
    <s v="2023"/>
    <n v="2267"/>
    <x v="2"/>
    <x v="0"/>
    <x v="4"/>
    <s v="Imported"/>
    <n v="2"/>
    <n v="1.55"/>
    <n v="0.2"/>
    <x v="0"/>
    <x v="0"/>
    <n v="5"/>
    <n v="4.2"/>
    <n v="2.48"/>
  </r>
  <r>
    <n v="1274"/>
    <d v="2023-10-01T00:00:00"/>
    <x v="9"/>
    <s v="2023"/>
    <n v="2509"/>
    <x v="2"/>
    <x v="1"/>
    <x v="4"/>
    <s v="Organic"/>
    <n v="37"/>
    <n v="1.49"/>
    <n v="0.13"/>
    <x v="1"/>
    <x v="0"/>
    <n v="6"/>
    <n v="4.4000000000000004"/>
    <n v="47.963099999999997"/>
  </r>
  <r>
    <n v="1275"/>
    <d v="2023-10-02T00:00:00"/>
    <x v="9"/>
    <s v="2023"/>
    <n v="2806"/>
    <x v="0"/>
    <x v="5"/>
    <x v="2"/>
    <s v="Fresh"/>
    <n v="5"/>
    <n v="1.28"/>
    <n v="0.03"/>
    <x v="3"/>
    <x v="1"/>
    <n v="1"/>
    <n v="4.9000000000000004"/>
    <n v="6.2080000000000002"/>
  </r>
  <r>
    <n v="1276"/>
    <d v="2023-10-03T00:00:00"/>
    <x v="9"/>
    <s v="2023"/>
    <n v="2385"/>
    <x v="1"/>
    <x v="4"/>
    <x v="1"/>
    <s v="Fresh"/>
    <n v="38"/>
    <n v="3.45"/>
    <n v="0.14000000000000001"/>
    <x v="1"/>
    <x v="0"/>
    <n v="1"/>
    <n v="4.4000000000000004"/>
    <n v="112.746"/>
  </r>
  <r>
    <n v="1277"/>
    <d v="2023-10-04T00:00:00"/>
    <x v="9"/>
    <s v="2023"/>
    <n v="2386"/>
    <x v="2"/>
    <x v="1"/>
    <x v="1"/>
    <s v="Imported"/>
    <n v="45"/>
    <n v="4.32"/>
    <n v="0.02"/>
    <x v="3"/>
    <x v="1"/>
    <n v="5"/>
    <n v="4"/>
    <n v="190.512"/>
  </r>
  <r>
    <n v="1278"/>
    <d v="2023-10-05T00:00:00"/>
    <x v="9"/>
    <s v="2023"/>
    <n v="2112"/>
    <x v="2"/>
    <x v="5"/>
    <x v="2"/>
    <s v="Organic"/>
    <n v="41"/>
    <n v="3.76"/>
    <n v="0.01"/>
    <x v="3"/>
    <x v="0"/>
    <n v="1"/>
    <n v="4.5999999999999996"/>
    <n v="152.61840000000001"/>
  </r>
  <r>
    <n v="1279"/>
    <d v="2023-10-06T00:00:00"/>
    <x v="9"/>
    <s v="2023"/>
    <n v="2612"/>
    <x v="2"/>
    <x v="1"/>
    <x v="0"/>
    <s v="Imported"/>
    <n v="47"/>
    <n v="4.0599999999999996"/>
    <n v="0.16"/>
    <x v="0"/>
    <x v="2"/>
    <n v="4"/>
    <n v="4.2"/>
    <n v="160.28880000000001"/>
  </r>
  <r>
    <n v="1280"/>
    <d v="2023-10-07T00:00:00"/>
    <x v="9"/>
    <s v="2023"/>
    <n v="2624"/>
    <x v="0"/>
    <x v="4"/>
    <x v="4"/>
    <s v="Organic"/>
    <n v="14"/>
    <n v="2.3199999999999998"/>
    <n v="0.04"/>
    <x v="1"/>
    <x v="0"/>
    <n v="6"/>
    <n v="3.5"/>
    <n v="31.180799999999991"/>
  </r>
  <r>
    <n v="1281"/>
    <d v="2023-10-08T00:00:00"/>
    <x v="9"/>
    <s v="2023"/>
    <n v="2951"/>
    <x v="3"/>
    <x v="3"/>
    <x v="4"/>
    <s v="Organic"/>
    <n v="39"/>
    <n v="3.44"/>
    <n v="0.08"/>
    <x v="0"/>
    <x v="0"/>
    <n v="6"/>
    <n v="4.7"/>
    <n v="123.4272"/>
  </r>
  <r>
    <n v="1282"/>
    <d v="2023-10-09T00:00:00"/>
    <x v="9"/>
    <s v="2023"/>
    <n v="2080"/>
    <x v="2"/>
    <x v="3"/>
    <x v="0"/>
    <s v="Organic"/>
    <n v="25"/>
    <n v="2.09"/>
    <n v="0.19"/>
    <x v="3"/>
    <x v="1"/>
    <n v="5"/>
    <n v="3.1"/>
    <n v="42.322500000000012"/>
  </r>
  <r>
    <n v="1283"/>
    <d v="2023-10-10T00:00:00"/>
    <x v="9"/>
    <s v="2023"/>
    <n v="2698"/>
    <x v="3"/>
    <x v="3"/>
    <x v="1"/>
    <s v="Fresh"/>
    <n v="20"/>
    <n v="2.86"/>
    <n v="7.0000000000000007E-2"/>
    <x v="2"/>
    <x v="1"/>
    <n v="1"/>
    <n v="4.3"/>
    <n v="53.195999999999991"/>
  </r>
  <r>
    <n v="1284"/>
    <d v="2023-10-11T00:00:00"/>
    <x v="9"/>
    <s v="2023"/>
    <n v="2112"/>
    <x v="1"/>
    <x v="3"/>
    <x v="3"/>
    <s v="Imported"/>
    <n v="2"/>
    <n v="2.67"/>
    <n v="0.06"/>
    <x v="1"/>
    <x v="0"/>
    <n v="2"/>
    <n v="4.7"/>
    <n v="5.0195999999999996"/>
  </r>
  <r>
    <n v="1285"/>
    <d v="2023-10-12T00:00:00"/>
    <x v="9"/>
    <s v="2023"/>
    <n v="2001"/>
    <x v="2"/>
    <x v="2"/>
    <x v="3"/>
    <s v="Imported"/>
    <n v="39"/>
    <n v="1.3"/>
    <n v="0.18"/>
    <x v="2"/>
    <x v="2"/>
    <n v="6"/>
    <n v="4.3"/>
    <n v="41.574000000000012"/>
  </r>
  <r>
    <n v="1286"/>
    <d v="2023-10-13T00:00:00"/>
    <x v="9"/>
    <s v="2023"/>
    <n v="2641"/>
    <x v="2"/>
    <x v="3"/>
    <x v="3"/>
    <s v="Organic"/>
    <n v="6"/>
    <n v="2.2400000000000002"/>
    <n v="0.02"/>
    <x v="1"/>
    <x v="0"/>
    <n v="5"/>
    <n v="4.2"/>
    <n v="13.171200000000001"/>
  </r>
  <r>
    <n v="1287"/>
    <d v="2023-10-14T00:00:00"/>
    <x v="9"/>
    <s v="2023"/>
    <n v="2219"/>
    <x v="1"/>
    <x v="4"/>
    <x v="1"/>
    <s v="Fresh"/>
    <n v="17"/>
    <n v="4.84"/>
    <n v="0.15"/>
    <x v="0"/>
    <x v="0"/>
    <n v="5"/>
    <n v="4.4000000000000004"/>
    <n v="69.938000000000002"/>
  </r>
  <r>
    <n v="1288"/>
    <d v="2023-10-15T00:00:00"/>
    <x v="9"/>
    <s v="2023"/>
    <n v="2565"/>
    <x v="2"/>
    <x v="0"/>
    <x v="1"/>
    <s v="Fresh"/>
    <n v="25"/>
    <n v="1.62"/>
    <n v="0.2"/>
    <x v="0"/>
    <x v="2"/>
    <n v="4"/>
    <n v="3.7"/>
    <n v="32.4"/>
  </r>
  <r>
    <n v="1289"/>
    <d v="2023-10-16T00:00:00"/>
    <x v="9"/>
    <s v="2023"/>
    <n v="2854"/>
    <x v="3"/>
    <x v="0"/>
    <x v="0"/>
    <s v="Imported"/>
    <n v="28"/>
    <n v="1.1000000000000001"/>
    <n v="0.18"/>
    <x v="0"/>
    <x v="1"/>
    <n v="3"/>
    <n v="4.7"/>
    <n v="25.256"/>
  </r>
  <r>
    <n v="1290"/>
    <d v="2023-10-17T00:00:00"/>
    <x v="9"/>
    <s v="2023"/>
    <n v="2996"/>
    <x v="0"/>
    <x v="2"/>
    <x v="4"/>
    <s v="Fresh"/>
    <n v="2"/>
    <n v="2.38"/>
    <n v="0.13"/>
    <x v="0"/>
    <x v="0"/>
    <n v="3"/>
    <n v="3"/>
    <n v="4.1412000000000004"/>
  </r>
  <r>
    <n v="1291"/>
    <d v="2023-10-18T00:00:00"/>
    <x v="9"/>
    <s v="2023"/>
    <n v="2735"/>
    <x v="3"/>
    <x v="3"/>
    <x v="0"/>
    <s v="Fresh"/>
    <n v="35"/>
    <n v="4.0599999999999996"/>
    <n v="0.06"/>
    <x v="0"/>
    <x v="1"/>
    <n v="6"/>
    <n v="2.8"/>
    <n v="133.57400000000001"/>
  </r>
  <r>
    <n v="1292"/>
    <d v="2023-10-19T00:00:00"/>
    <x v="9"/>
    <s v="2023"/>
    <n v="2224"/>
    <x v="0"/>
    <x v="3"/>
    <x v="0"/>
    <s v="Organic"/>
    <n v="37"/>
    <n v="3.12"/>
    <n v="0.05"/>
    <x v="2"/>
    <x v="1"/>
    <n v="4"/>
    <n v="3.2"/>
    <n v="109.66800000000001"/>
  </r>
  <r>
    <n v="1293"/>
    <d v="2023-10-20T00:00:00"/>
    <x v="9"/>
    <s v="2023"/>
    <n v="2384"/>
    <x v="0"/>
    <x v="3"/>
    <x v="1"/>
    <s v="Fresh"/>
    <n v="5"/>
    <n v="3.56"/>
    <n v="0.16"/>
    <x v="0"/>
    <x v="2"/>
    <n v="4"/>
    <n v="3.8"/>
    <n v="14.952"/>
  </r>
  <r>
    <n v="1294"/>
    <d v="2023-10-21T00:00:00"/>
    <x v="9"/>
    <s v="2023"/>
    <n v="2402"/>
    <x v="3"/>
    <x v="1"/>
    <x v="3"/>
    <s v="Organic"/>
    <n v="1"/>
    <n v="1.35"/>
    <n v="0.18"/>
    <x v="3"/>
    <x v="2"/>
    <n v="4"/>
    <n v="3.8"/>
    <n v="1.107"/>
  </r>
  <r>
    <n v="1295"/>
    <d v="2023-10-22T00:00:00"/>
    <x v="9"/>
    <s v="2023"/>
    <n v="2637"/>
    <x v="3"/>
    <x v="5"/>
    <x v="5"/>
    <s v="Imported"/>
    <n v="40"/>
    <n v="3.29"/>
    <n v="0.11"/>
    <x v="3"/>
    <x v="1"/>
    <n v="6"/>
    <n v="4.5999999999999996"/>
    <n v="117.124"/>
  </r>
  <r>
    <n v="1296"/>
    <d v="2023-10-23T00:00:00"/>
    <x v="9"/>
    <s v="2023"/>
    <n v="2129"/>
    <x v="3"/>
    <x v="1"/>
    <x v="4"/>
    <s v="Fresh"/>
    <n v="12"/>
    <n v="1.96"/>
    <n v="0.05"/>
    <x v="2"/>
    <x v="0"/>
    <n v="3"/>
    <n v="3.5"/>
    <n v="22.344000000000001"/>
  </r>
  <r>
    <n v="1297"/>
    <d v="2023-10-24T00:00:00"/>
    <x v="9"/>
    <s v="2023"/>
    <n v="2052"/>
    <x v="3"/>
    <x v="5"/>
    <x v="1"/>
    <s v="Imported"/>
    <n v="36"/>
    <n v="4.25"/>
    <n v="0.02"/>
    <x v="1"/>
    <x v="1"/>
    <n v="4"/>
    <n v="3.7"/>
    <n v="149.94"/>
  </r>
  <r>
    <n v="1298"/>
    <d v="2023-10-25T00:00:00"/>
    <x v="9"/>
    <s v="2023"/>
    <n v="2683"/>
    <x v="1"/>
    <x v="3"/>
    <x v="3"/>
    <s v="Imported"/>
    <n v="45"/>
    <n v="3.33"/>
    <n v="0.02"/>
    <x v="3"/>
    <x v="0"/>
    <n v="1"/>
    <n v="2.5"/>
    <n v="146.85300000000001"/>
  </r>
  <r>
    <n v="1299"/>
    <d v="2023-10-26T00:00:00"/>
    <x v="9"/>
    <s v="2023"/>
    <n v="2729"/>
    <x v="2"/>
    <x v="3"/>
    <x v="5"/>
    <s v="Fresh"/>
    <n v="23"/>
    <n v="1.39"/>
    <n v="0.14000000000000001"/>
    <x v="1"/>
    <x v="0"/>
    <n v="5"/>
    <n v="3.5"/>
    <n v="27.494199999999999"/>
  </r>
  <r>
    <n v="1300"/>
    <d v="2023-10-27T00:00:00"/>
    <x v="9"/>
    <s v="2023"/>
    <n v="2671"/>
    <x v="0"/>
    <x v="1"/>
    <x v="5"/>
    <s v="Fresh"/>
    <n v="47"/>
    <n v="0.79"/>
    <n v="0.08"/>
    <x v="2"/>
    <x v="2"/>
    <n v="5"/>
    <n v="4.0999999999999996"/>
    <n v="34.159599999999998"/>
  </r>
  <r>
    <n v="1301"/>
    <d v="2023-10-28T00:00:00"/>
    <x v="9"/>
    <s v="2023"/>
    <n v="2709"/>
    <x v="3"/>
    <x v="1"/>
    <x v="1"/>
    <s v="Imported"/>
    <n v="31"/>
    <n v="0.69"/>
    <n v="0.18"/>
    <x v="1"/>
    <x v="0"/>
    <n v="2"/>
    <n v="2.5"/>
    <n v="17.5398"/>
  </r>
  <r>
    <n v="1302"/>
    <d v="2023-10-29T00:00:00"/>
    <x v="9"/>
    <s v="2023"/>
    <n v="2415"/>
    <x v="3"/>
    <x v="5"/>
    <x v="2"/>
    <s v="Fresh"/>
    <n v="11"/>
    <n v="2.17"/>
    <n v="0.15"/>
    <x v="1"/>
    <x v="0"/>
    <n v="2"/>
    <n v="3.2"/>
    <n v="20.2895"/>
  </r>
  <r>
    <n v="1303"/>
    <d v="2023-10-30T00:00:00"/>
    <x v="9"/>
    <s v="2023"/>
    <n v="2246"/>
    <x v="3"/>
    <x v="0"/>
    <x v="4"/>
    <s v="Organic"/>
    <n v="10"/>
    <n v="1.7"/>
    <n v="0.04"/>
    <x v="1"/>
    <x v="1"/>
    <n v="6"/>
    <n v="3"/>
    <n v="16.32"/>
  </r>
  <r>
    <n v="1304"/>
    <d v="2023-10-31T00:00:00"/>
    <x v="9"/>
    <s v="2023"/>
    <n v="2835"/>
    <x v="1"/>
    <x v="5"/>
    <x v="5"/>
    <s v="Organic"/>
    <n v="3"/>
    <n v="3.41"/>
    <n v="0.12"/>
    <x v="1"/>
    <x v="2"/>
    <n v="6"/>
    <n v="2.6"/>
    <n v="9.0023999999999997"/>
  </r>
  <r>
    <n v="1305"/>
    <d v="2023-11-01T00:00:00"/>
    <x v="10"/>
    <s v="2023"/>
    <n v="2438"/>
    <x v="3"/>
    <x v="1"/>
    <x v="1"/>
    <s v="Fresh"/>
    <n v="14"/>
    <n v="2.75"/>
    <n v="0.09"/>
    <x v="2"/>
    <x v="0"/>
    <n v="5"/>
    <n v="3.7"/>
    <n v="35.034999999999997"/>
  </r>
  <r>
    <n v="1306"/>
    <d v="2023-11-02T00:00:00"/>
    <x v="10"/>
    <s v="2023"/>
    <n v="2202"/>
    <x v="3"/>
    <x v="4"/>
    <x v="1"/>
    <s v="Imported"/>
    <n v="16"/>
    <n v="1.7"/>
    <n v="0.12"/>
    <x v="3"/>
    <x v="0"/>
    <n v="1"/>
    <n v="3"/>
    <n v="23.936"/>
  </r>
  <r>
    <n v="1307"/>
    <d v="2023-11-03T00:00:00"/>
    <x v="10"/>
    <s v="2023"/>
    <n v="2183"/>
    <x v="3"/>
    <x v="1"/>
    <x v="3"/>
    <s v="Fresh"/>
    <n v="10"/>
    <n v="1.17"/>
    <n v="0.15"/>
    <x v="0"/>
    <x v="2"/>
    <n v="3"/>
    <n v="4.4000000000000004"/>
    <n v="9.9449999999999985"/>
  </r>
  <r>
    <n v="1308"/>
    <d v="2023-11-04T00:00:00"/>
    <x v="10"/>
    <s v="2023"/>
    <n v="2122"/>
    <x v="2"/>
    <x v="4"/>
    <x v="2"/>
    <s v="Fresh"/>
    <n v="29"/>
    <n v="1.07"/>
    <n v="0.16"/>
    <x v="1"/>
    <x v="1"/>
    <n v="3"/>
    <n v="4.5999999999999996"/>
    <n v="26.065200000000001"/>
  </r>
  <r>
    <n v="1309"/>
    <d v="2023-11-05T00:00:00"/>
    <x v="10"/>
    <s v="2023"/>
    <n v="2400"/>
    <x v="1"/>
    <x v="2"/>
    <x v="4"/>
    <s v="Imported"/>
    <n v="10"/>
    <n v="4.3899999999999997"/>
    <n v="0.17"/>
    <x v="3"/>
    <x v="2"/>
    <n v="6"/>
    <n v="3.9"/>
    <n v="36.436999999999998"/>
  </r>
  <r>
    <n v="1310"/>
    <d v="2023-11-06T00:00:00"/>
    <x v="10"/>
    <s v="2023"/>
    <n v="2766"/>
    <x v="3"/>
    <x v="1"/>
    <x v="0"/>
    <s v="Imported"/>
    <n v="12"/>
    <n v="1.6"/>
    <n v="0.05"/>
    <x v="3"/>
    <x v="2"/>
    <n v="1"/>
    <n v="5"/>
    <n v="18.239999999999998"/>
  </r>
  <r>
    <n v="1311"/>
    <d v="2023-11-07T00:00:00"/>
    <x v="10"/>
    <s v="2023"/>
    <n v="2293"/>
    <x v="0"/>
    <x v="2"/>
    <x v="3"/>
    <s v="Organic"/>
    <n v="30"/>
    <n v="3.43"/>
    <n v="0.01"/>
    <x v="2"/>
    <x v="0"/>
    <n v="6"/>
    <n v="3.6"/>
    <n v="101.871"/>
  </r>
  <r>
    <n v="1312"/>
    <d v="2023-11-08T00:00:00"/>
    <x v="10"/>
    <s v="2023"/>
    <n v="2279"/>
    <x v="0"/>
    <x v="0"/>
    <x v="5"/>
    <s v="Imported"/>
    <n v="41"/>
    <n v="4.1500000000000004"/>
    <n v="0.15"/>
    <x v="3"/>
    <x v="0"/>
    <n v="3"/>
    <n v="3.8"/>
    <n v="144.6275"/>
  </r>
  <r>
    <n v="1313"/>
    <d v="2023-11-09T00:00:00"/>
    <x v="10"/>
    <s v="2023"/>
    <n v="2836"/>
    <x v="0"/>
    <x v="5"/>
    <x v="5"/>
    <s v="Organic"/>
    <n v="1"/>
    <n v="3.26"/>
    <n v="0.02"/>
    <x v="2"/>
    <x v="1"/>
    <n v="6"/>
    <n v="5"/>
    <n v="3.1947999999999999"/>
  </r>
  <r>
    <n v="1314"/>
    <d v="2023-11-10T00:00:00"/>
    <x v="10"/>
    <s v="2023"/>
    <n v="2883"/>
    <x v="1"/>
    <x v="4"/>
    <x v="3"/>
    <s v="Imported"/>
    <n v="5"/>
    <n v="4.37"/>
    <n v="0.06"/>
    <x v="1"/>
    <x v="0"/>
    <n v="4"/>
    <n v="3.1"/>
    <n v="20.539000000000001"/>
  </r>
  <r>
    <n v="1315"/>
    <d v="2023-11-11T00:00:00"/>
    <x v="10"/>
    <s v="2023"/>
    <n v="2609"/>
    <x v="1"/>
    <x v="5"/>
    <x v="1"/>
    <s v="Fresh"/>
    <n v="20"/>
    <n v="2.27"/>
    <n v="0"/>
    <x v="1"/>
    <x v="0"/>
    <n v="6"/>
    <n v="4.9000000000000004"/>
    <n v="45.4"/>
  </r>
  <r>
    <n v="1316"/>
    <d v="2023-11-12T00:00:00"/>
    <x v="10"/>
    <s v="2023"/>
    <n v="2197"/>
    <x v="0"/>
    <x v="2"/>
    <x v="5"/>
    <s v="Organic"/>
    <n v="8"/>
    <n v="4.8"/>
    <n v="0.14000000000000001"/>
    <x v="0"/>
    <x v="2"/>
    <n v="5"/>
    <n v="2.6"/>
    <n v="33.024000000000001"/>
  </r>
  <r>
    <n v="1317"/>
    <d v="2023-11-13T00:00:00"/>
    <x v="10"/>
    <s v="2023"/>
    <n v="2981"/>
    <x v="3"/>
    <x v="4"/>
    <x v="2"/>
    <s v="Organic"/>
    <n v="43"/>
    <n v="1.1000000000000001"/>
    <n v="0.03"/>
    <x v="0"/>
    <x v="0"/>
    <n v="6"/>
    <n v="3.6"/>
    <n v="45.881"/>
  </r>
  <r>
    <n v="1318"/>
    <d v="2023-11-14T00:00:00"/>
    <x v="10"/>
    <s v="2023"/>
    <n v="2906"/>
    <x v="1"/>
    <x v="5"/>
    <x v="4"/>
    <s v="Organic"/>
    <n v="12"/>
    <n v="0.96"/>
    <n v="0.13"/>
    <x v="0"/>
    <x v="1"/>
    <n v="5"/>
    <n v="2.7"/>
    <n v="10.022399999999999"/>
  </r>
  <r>
    <n v="1319"/>
    <d v="2023-11-15T00:00:00"/>
    <x v="10"/>
    <s v="2023"/>
    <n v="2510"/>
    <x v="0"/>
    <x v="1"/>
    <x v="2"/>
    <s v="Fresh"/>
    <n v="1"/>
    <n v="3.46"/>
    <n v="0.2"/>
    <x v="3"/>
    <x v="2"/>
    <n v="1"/>
    <n v="4.3"/>
    <n v="2.7679999999999998"/>
  </r>
  <r>
    <n v="1320"/>
    <d v="2023-11-16T00:00:00"/>
    <x v="10"/>
    <s v="2023"/>
    <n v="2751"/>
    <x v="0"/>
    <x v="3"/>
    <x v="5"/>
    <s v="Fresh"/>
    <n v="20"/>
    <n v="4.74"/>
    <n v="0.01"/>
    <x v="1"/>
    <x v="1"/>
    <n v="3"/>
    <n v="4"/>
    <n v="93.852000000000004"/>
  </r>
  <r>
    <n v="1321"/>
    <d v="2023-11-17T00:00:00"/>
    <x v="10"/>
    <s v="2023"/>
    <n v="2143"/>
    <x v="3"/>
    <x v="2"/>
    <x v="0"/>
    <s v="Fresh"/>
    <n v="28"/>
    <n v="4.1399999999999997"/>
    <n v="0.02"/>
    <x v="2"/>
    <x v="2"/>
    <n v="2"/>
    <n v="4.3"/>
    <n v="113.6016"/>
  </r>
  <r>
    <n v="1322"/>
    <d v="2023-11-18T00:00:00"/>
    <x v="10"/>
    <s v="2023"/>
    <n v="2608"/>
    <x v="2"/>
    <x v="5"/>
    <x v="4"/>
    <s v="Fresh"/>
    <n v="43"/>
    <n v="0.84"/>
    <n v="7.0000000000000007E-2"/>
    <x v="0"/>
    <x v="0"/>
    <n v="2"/>
    <n v="3.4"/>
    <n v="33.591599999999993"/>
  </r>
  <r>
    <n v="1323"/>
    <d v="2023-11-19T00:00:00"/>
    <x v="10"/>
    <s v="2023"/>
    <n v="2200"/>
    <x v="1"/>
    <x v="2"/>
    <x v="4"/>
    <s v="Fresh"/>
    <n v="37"/>
    <n v="1.76"/>
    <n v="0.17"/>
    <x v="2"/>
    <x v="2"/>
    <n v="3"/>
    <n v="3.4"/>
    <n v="54.049599999999998"/>
  </r>
  <r>
    <n v="1324"/>
    <d v="2023-11-20T00:00:00"/>
    <x v="10"/>
    <s v="2023"/>
    <n v="2123"/>
    <x v="3"/>
    <x v="2"/>
    <x v="3"/>
    <s v="Organic"/>
    <n v="47"/>
    <n v="4.6900000000000004"/>
    <n v="0.04"/>
    <x v="2"/>
    <x v="2"/>
    <n v="2"/>
    <n v="2.6"/>
    <n v="211.61279999999999"/>
  </r>
  <r>
    <n v="1325"/>
    <d v="2023-11-21T00:00:00"/>
    <x v="10"/>
    <s v="2023"/>
    <n v="2186"/>
    <x v="0"/>
    <x v="4"/>
    <x v="3"/>
    <s v="Fresh"/>
    <n v="37"/>
    <n v="1.64"/>
    <n v="7.0000000000000007E-2"/>
    <x v="0"/>
    <x v="0"/>
    <n v="6"/>
    <n v="3.4"/>
    <n v="56.432399999999987"/>
  </r>
  <r>
    <n v="1326"/>
    <d v="2023-11-22T00:00:00"/>
    <x v="10"/>
    <s v="2023"/>
    <n v="2325"/>
    <x v="0"/>
    <x v="4"/>
    <x v="0"/>
    <s v="Organic"/>
    <n v="12"/>
    <n v="4.0199999999999996"/>
    <n v="0.01"/>
    <x v="1"/>
    <x v="0"/>
    <n v="1"/>
    <n v="4.8"/>
    <n v="47.757599999999996"/>
  </r>
  <r>
    <n v="1327"/>
    <d v="2023-11-23T00:00:00"/>
    <x v="10"/>
    <s v="2023"/>
    <n v="2463"/>
    <x v="3"/>
    <x v="3"/>
    <x v="1"/>
    <s v="Fresh"/>
    <n v="37"/>
    <n v="4.21"/>
    <n v="0.15"/>
    <x v="0"/>
    <x v="1"/>
    <n v="1"/>
    <n v="3.4"/>
    <n v="132.40450000000001"/>
  </r>
  <r>
    <n v="1328"/>
    <d v="2023-11-24T00:00:00"/>
    <x v="10"/>
    <s v="2023"/>
    <n v="2348"/>
    <x v="1"/>
    <x v="1"/>
    <x v="4"/>
    <s v="Imported"/>
    <n v="49"/>
    <n v="2.73"/>
    <n v="0.08"/>
    <x v="2"/>
    <x v="1"/>
    <n v="3"/>
    <n v="4.5999999999999996"/>
    <n v="123.0684"/>
  </r>
  <r>
    <n v="1329"/>
    <d v="2023-11-25T00:00:00"/>
    <x v="10"/>
    <s v="2023"/>
    <n v="2770"/>
    <x v="2"/>
    <x v="2"/>
    <x v="0"/>
    <s v="Organic"/>
    <n v="49"/>
    <n v="2.2400000000000002"/>
    <n v="0.15"/>
    <x v="0"/>
    <x v="0"/>
    <n v="2"/>
    <n v="4.5999999999999996"/>
    <n v="93.296000000000006"/>
  </r>
  <r>
    <n v="1330"/>
    <d v="2023-11-26T00:00:00"/>
    <x v="10"/>
    <s v="2023"/>
    <n v="2659"/>
    <x v="2"/>
    <x v="5"/>
    <x v="3"/>
    <s v="Imported"/>
    <n v="44"/>
    <n v="2.5299999999999998"/>
    <n v="0.18"/>
    <x v="2"/>
    <x v="0"/>
    <n v="6"/>
    <n v="3.4"/>
    <n v="91.282399999999996"/>
  </r>
  <r>
    <n v="1331"/>
    <d v="2023-11-27T00:00:00"/>
    <x v="10"/>
    <s v="2023"/>
    <n v="2763"/>
    <x v="0"/>
    <x v="0"/>
    <x v="3"/>
    <s v="Organic"/>
    <n v="28"/>
    <n v="1.52"/>
    <n v="0.05"/>
    <x v="2"/>
    <x v="0"/>
    <n v="1"/>
    <n v="4.0999999999999996"/>
    <n v="40.432000000000002"/>
  </r>
  <r>
    <n v="1332"/>
    <d v="2023-11-28T00:00:00"/>
    <x v="10"/>
    <s v="2023"/>
    <n v="2954"/>
    <x v="1"/>
    <x v="2"/>
    <x v="4"/>
    <s v="Imported"/>
    <n v="47"/>
    <n v="4.5"/>
    <n v="0.16"/>
    <x v="0"/>
    <x v="2"/>
    <n v="1"/>
    <n v="2.7"/>
    <n v="177.66"/>
  </r>
  <r>
    <n v="1333"/>
    <d v="2023-11-29T00:00:00"/>
    <x v="10"/>
    <s v="2023"/>
    <n v="2931"/>
    <x v="2"/>
    <x v="2"/>
    <x v="2"/>
    <s v="Fresh"/>
    <n v="15"/>
    <n v="2.5299999999999998"/>
    <n v="0.01"/>
    <x v="3"/>
    <x v="2"/>
    <n v="4"/>
    <n v="2.8"/>
    <n v="37.570500000000003"/>
  </r>
  <r>
    <n v="1334"/>
    <d v="2023-11-30T00:00:00"/>
    <x v="10"/>
    <s v="2023"/>
    <n v="2402"/>
    <x v="1"/>
    <x v="3"/>
    <x v="5"/>
    <s v="Fresh"/>
    <n v="6"/>
    <n v="4.47"/>
    <n v="0.18"/>
    <x v="0"/>
    <x v="2"/>
    <n v="4"/>
    <n v="2.6"/>
    <n v="21.9924"/>
  </r>
  <r>
    <n v="1335"/>
    <d v="2023-12-01T00:00:00"/>
    <x v="11"/>
    <s v="2023"/>
    <n v="2345"/>
    <x v="1"/>
    <x v="1"/>
    <x v="3"/>
    <s v="Fresh"/>
    <n v="44"/>
    <n v="0.98"/>
    <n v="0.13"/>
    <x v="3"/>
    <x v="0"/>
    <n v="1"/>
    <n v="4"/>
    <n v="37.514399999999988"/>
  </r>
  <r>
    <n v="1336"/>
    <d v="2023-12-02T00:00:00"/>
    <x v="11"/>
    <s v="2023"/>
    <n v="2962"/>
    <x v="0"/>
    <x v="0"/>
    <x v="1"/>
    <s v="Organic"/>
    <n v="20"/>
    <n v="4.95"/>
    <n v="0.17"/>
    <x v="2"/>
    <x v="1"/>
    <n v="3"/>
    <n v="3.6"/>
    <n v="82.17"/>
  </r>
  <r>
    <n v="1337"/>
    <d v="2023-12-03T00:00:00"/>
    <x v="11"/>
    <s v="2023"/>
    <n v="2510"/>
    <x v="2"/>
    <x v="4"/>
    <x v="1"/>
    <s v="Imported"/>
    <n v="14"/>
    <n v="2.4900000000000002"/>
    <n v="0"/>
    <x v="2"/>
    <x v="0"/>
    <n v="5"/>
    <n v="3.9"/>
    <n v="34.86"/>
  </r>
  <r>
    <n v="1338"/>
    <d v="2023-12-04T00:00:00"/>
    <x v="11"/>
    <s v="2023"/>
    <n v="2146"/>
    <x v="3"/>
    <x v="4"/>
    <x v="3"/>
    <s v="Fresh"/>
    <n v="2"/>
    <n v="0.72"/>
    <n v="0.03"/>
    <x v="3"/>
    <x v="2"/>
    <n v="5"/>
    <n v="3.8"/>
    <n v="1.3968"/>
  </r>
  <r>
    <n v="1339"/>
    <d v="2023-12-05T00:00:00"/>
    <x v="11"/>
    <s v="2023"/>
    <n v="2147"/>
    <x v="0"/>
    <x v="5"/>
    <x v="2"/>
    <s v="Imported"/>
    <n v="9"/>
    <n v="0.67"/>
    <n v="0.08"/>
    <x v="2"/>
    <x v="2"/>
    <n v="6"/>
    <n v="3.4"/>
    <n v="5.5476000000000001"/>
  </r>
  <r>
    <n v="1340"/>
    <d v="2023-12-06T00:00:00"/>
    <x v="11"/>
    <s v="2023"/>
    <n v="2863"/>
    <x v="2"/>
    <x v="0"/>
    <x v="2"/>
    <s v="Imported"/>
    <n v="37"/>
    <n v="3.86"/>
    <n v="0.08"/>
    <x v="3"/>
    <x v="0"/>
    <n v="1"/>
    <n v="4.2"/>
    <n v="131.39439999999999"/>
  </r>
  <r>
    <n v="1341"/>
    <d v="2023-12-07T00:00:00"/>
    <x v="11"/>
    <s v="2023"/>
    <n v="2710"/>
    <x v="2"/>
    <x v="4"/>
    <x v="0"/>
    <s v="Fresh"/>
    <n v="20"/>
    <n v="3.47"/>
    <n v="0.05"/>
    <x v="3"/>
    <x v="0"/>
    <n v="1"/>
    <n v="4.4000000000000004"/>
    <n v="65.930000000000007"/>
  </r>
  <r>
    <n v="1342"/>
    <d v="2023-12-08T00:00:00"/>
    <x v="11"/>
    <s v="2023"/>
    <n v="2819"/>
    <x v="2"/>
    <x v="5"/>
    <x v="1"/>
    <s v="Fresh"/>
    <n v="26"/>
    <n v="4.1100000000000003"/>
    <n v="0.08"/>
    <x v="2"/>
    <x v="2"/>
    <n v="1"/>
    <n v="2.5"/>
    <n v="98.311200000000014"/>
  </r>
  <r>
    <n v="1343"/>
    <d v="2023-12-09T00:00:00"/>
    <x v="11"/>
    <s v="2023"/>
    <n v="2488"/>
    <x v="2"/>
    <x v="1"/>
    <x v="0"/>
    <s v="Imported"/>
    <n v="29"/>
    <n v="0.97"/>
    <n v="0.03"/>
    <x v="1"/>
    <x v="2"/>
    <n v="3"/>
    <n v="3"/>
    <n v="27.286100000000001"/>
  </r>
  <r>
    <n v="1344"/>
    <d v="2023-12-10T00:00:00"/>
    <x v="11"/>
    <s v="2023"/>
    <n v="2928"/>
    <x v="2"/>
    <x v="5"/>
    <x v="1"/>
    <s v="Fresh"/>
    <n v="1"/>
    <n v="0.66"/>
    <n v="0.08"/>
    <x v="3"/>
    <x v="2"/>
    <n v="4"/>
    <n v="4.3"/>
    <n v="0.60720000000000007"/>
  </r>
  <r>
    <n v="1345"/>
    <d v="2023-12-11T00:00:00"/>
    <x v="11"/>
    <s v="2023"/>
    <n v="2935"/>
    <x v="1"/>
    <x v="4"/>
    <x v="5"/>
    <s v="Fresh"/>
    <n v="35"/>
    <n v="2.79"/>
    <n v="0.16"/>
    <x v="0"/>
    <x v="0"/>
    <n v="1"/>
    <n v="3.5"/>
    <n v="82.025999999999996"/>
  </r>
  <r>
    <n v="1346"/>
    <d v="2023-12-12T00:00:00"/>
    <x v="11"/>
    <s v="2023"/>
    <n v="2639"/>
    <x v="0"/>
    <x v="3"/>
    <x v="5"/>
    <s v="Fresh"/>
    <n v="6"/>
    <n v="2.2400000000000002"/>
    <n v="0.1"/>
    <x v="0"/>
    <x v="2"/>
    <n v="1"/>
    <n v="4.2"/>
    <n v="12.096"/>
  </r>
  <r>
    <n v="1347"/>
    <d v="2023-12-13T00:00:00"/>
    <x v="11"/>
    <s v="2023"/>
    <n v="2550"/>
    <x v="1"/>
    <x v="3"/>
    <x v="4"/>
    <s v="Organic"/>
    <n v="37"/>
    <n v="2.58"/>
    <n v="0"/>
    <x v="2"/>
    <x v="2"/>
    <n v="2"/>
    <n v="3.4"/>
    <n v="95.460000000000008"/>
  </r>
  <r>
    <n v="1348"/>
    <d v="2023-12-14T00:00:00"/>
    <x v="11"/>
    <s v="2023"/>
    <n v="2337"/>
    <x v="3"/>
    <x v="3"/>
    <x v="0"/>
    <s v="Imported"/>
    <n v="5"/>
    <n v="4.96"/>
    <n v="0.08"/>
    <x v="1"/>
    <x v="1"/>
    <n v="3"/>
    <n v="3.5"/>
    <n v="22.815999999999999"/>
  </r>
  <r>
    <n v="1349"/>
    <d v="2023-12-15T00:00:00"/>
    <x v="11"/>
    <s v="2023"/>
    <n v="2871"/>
    <x v="2"/>
    <x v="4"/>
    <x v="3"/>
    <s v="Imported"/>
    <n v="33"/>
    <n v="4.87"/>
    <n v="0.01"/>
    <x v="2"/>
    <x v="0"/>
    <n v="6"/>
    <n v="2.9"/>
    <n v="159.10290000000001"/>
  </r>
  <r>
    <n v="1350"/>
    <d v="2023-12-16T00:00:00"/>
    <x v="11"/>
    <s v="2023"/>
    <n v="2640"/>
    <x v="0"/>
    <x v="3"/>
    <x v="0"/>
    <s v="Organic"/>
    <n v="49"/>
    <n v="4.74"/>
    <n v="0.19"/>
    <x v="1"/>
    <x v="1"/>
    <n v="1"/>
    <n v="3.1"/>
    <n v="188.13059999999999"/>
  </r>
  <r>
    <n v="1351"/>
    <d v="2023-12-17T00:00:00"/>
    <x v="11"/>
    <s v="2023"/>
    <n v="2778"/>
    <x v="2"/>
    <x v="0"/>
    <x v="3"/>
    <s v="Imported"/>
    <n v="14"/>
    <n v="4.03"/>
    <n v="0.03"/>
    <x v="3"/>
    <x v="1"/>
    <n v="2"/>
    <n v="4"/>
    <n v="54.727400000000003"/>
  </r>
  <r>
    <n v="1352"/>
    <d v="2023-12-18T00:00:00"/>
    <x v="11"/>
    <s v="2023"/>
    <n v="2987"/>
    <x v="0"/>
    <x v="1"/>
    <x v="2"/>
    <s v="Fresh"/>
    <n v="12"/>
    <n v="2.1"/>
    <n v="0.14000000000000001"/>
    <x v="3"/>
    <x v="2"/>
    <n v="5"/>
    <n v="3.6"/>
    <n v="21.672000000000001"/>
  </r>
  <r>
    <n v="1353"/>
    <d v="2023-12-19T00:00:00"/>
    <x v="11"/>
    <s v="2023"/>
    <n v="2952"/>
    <x v="1"/>
    <x v="5"/>
    <x v="0"/>
    <s v="Imported"/>
    <n v="42"/>
    <n v="2.35"/>
    <n v="0.19"/>
    <x v="3"/>
    <x v="0"/>
    <n v="6"/>
    <n v="4.4000000000000004"/>
    <n v="79.947000000000003"/>
  </r>
  <r>
    <n v="1354"/>
    <d v="2023-12-20T00:00:00"/>
    <x v="11"/>
    <s v="2023"/>
    <n v="2472"/>
    <x v="0"/>
    <x v="5"/>
    <x v="2"/>
    <s v="Fresh"/>
    <n v="20"/>
    <n v="2.97"/>
    <n v="0.17"/>
    <x v="3"/>
    <x v="2"/>
    <n v="1"/>
    <n v="4.5999999999999996"/>
    <n v="49.302"/>
  </r>
  <r>
    <n v="1355"/>
    <d v="2023-12-21T00:00:00"/>
    <x v="11"/>
    <s v="2023"/>
    <n v="2945"/>
    <x v="3"/>
    <x v="4"/>
    <x v="5"/>
    <s v="Organic"/>
    <n v="24"/>
    <n v="4.24"/>
    <n v="0.14000000000000001"/>
    <x v="0"/>
    <x v="0"/>
    <n v="1"/>
    <n v="3.9"/>
    <n v="87.513599999999997"/>
  </r>
  <r>
    <n v="1356"/>
    <d v="2023-12-22T00:00:00"/>
    <x v="11"/>
    <s v="2023"/>
    <n v="2150"/>
    <x v="3"/>
    <x v="3"/>
    <x v="5"/>
    <s v="Fresh"/>
    <n v="43"/>
    <n v="0.81"/>
    <n v="0.17"/>
    <x v="0"/>
    <x v="1"/>
    <n v="2"/>
    <n v="4.4000000000000004"/>
    <n v="28.908899999999999"/>
  </r>
  <r>
    <n v="1357"/>
    <d v="2023-12-23T00:00:00"/>
    <x v="11"/>
    <s v="2023"/>
    <n v="2414"/>
    <x v="0"/>
    <x v="3"/>
    <x v="4"/>
    <s v="Imported"/>
    <n v="34"/>
    <n v="2.41"/>
    <n v="0.2"/>
    <x v="2"/>
    <x v="0"/>
    <n v="3"/>
    <n v="3.3"/>
    <n v="65.552000000000007"/>
  </r>
  <r>
    <n v="1358"/>
    <d v="2023-12-24T00:00:00"/>
    <x v="11"/>
    <s v="2023"/>
    <n v="2989"/>
    <x v="0"/>
    <x v="2"/>
    <x v="0"/>
    <s v="Imported"/>
    <n v="25"/>
    <n v="0.87"/>
    <n v="0.12"/>
    <x v="1"/>
    <x v="2"/>
    <n v="1"/>
    <n v="3.5"/>
    <n v="19.14"/>
  </r>
  <r>
    <n v="1359"/>
    <d v="2023-12-25T00:00:00"/>
    <x v="11"/>
    <s v="2023"/>
    <n v="2297"/>
    <x v="0"/>
    <x v="1"/>
    <x v="2"/>
    <s v="Imported"/>
    <n v="29"/>
    <n v="2.82"/>
    <n v="0.11"/>
    <x v="3"/>
    <x v="2"/>
    <n v="5"/>
    <n v="4.3"/>
    <n v="72.784199999999998"/>
  </r>
  <r>
    <n v="1360"/>
    <d v="2023-12-26T00:00:00"/>
    <x v="11"/>
    <s v="2023"/>
    <n v="2610"/>
    <x v="0"/>
    <x v="0"/>
    <x v="3"/>
    <s v="Organic"/>
    <n v="39"/>
    <n v="4.55"/>
    <n v="0.13"/>
    <x v="3"/>
    <x v="2"/>
    <n v="1"/>
    <n v="3.5"/>
    <n v="154.38149999999999"/>
  </r>
  <r>
    <n v="1361"/>
    <d v="2023-12-27T00:00:00"/>
    <x v="11"/>
    <s v="2023"/>
    <n v="2262"/>
    <x v="3"/>
    <x v="5"/>
    <x v="5"/>
    <s v="Organic"/>
    <n v="31"/>
    <n v="4.0199999999999996"/>
    <n v="0.11"/>
    <x v="1"/>
    <x v="0"/>
    <n v="5"/>
    <n v="4"/>
    <n v="110.9118"/>
  </r>
  <r>
    <n v="1362"/>
    <d v="2023-12-28T00:00:00"/>
    <x v="11"/>
    <s v="2023"/>
    <n v="2763"/>
    <x v="2"/>
    <x v="2"/>
    <x v="5"/>
    <s v="Imported"/>
    <n v="47"/>
    <n v="1.53"/>
    <n v="0.13"/>
    <x v="1"/>
    <x v="1"/>
    <n v="6"/>
    <n v="3"/>
    <n v="62.561699999999988"/>
  </r>
  <r>
    <n v="1363"/>
    <d v="2023-12-29T00:00:00"/>
    <x v="11"/>
    <s v="2023"/>
    <n v="2143"/>
    <x v="0"/>
    <x v="2"/>
    <x v="3"/>
    <s v="Fresh"/>
    <n v="43"/>
    <n v="4.8899999999999997"/>
    <n v="0.09"/>
    <x v="2"/>
    <x v="1"/>
    <n v="6"/>
    <n v="4"/>
    <n v="191.34569999999999"/>
  </r>
  <r>
    <n v="1364"/>
    <d v="2023-12-30T00:00:00"/>
    <x v="11"/>
    <s v="2023"/>
    <n v="2345"/>
    <x v="0"/>
    <x v="4"/>
    <x v="2"/>
    <s v="Organic"/>
    <n v="23"/>
    <n v="3.5"/>
    <n v="0.04"/>
    <x v="1"/>
    <x v="0"/>
    <n v="4"/>
    <n v="4.7"/>
    <n v="77.28"/>
  </r>
  <r>
    <n v="1365"/>
    <d v="2023-12-31T00:00:00"/>
    <x v="11"/>
    <s v="2023"/>
    <n v="2623"/>
    <x v="3"/>
    <x v="5"/>
    <x v="2"/>
    <s v="Imported"/>
    <n v="44"/>
    <n v="0.55000000000000004"/>
    <n v="0.02"/>
    <x v="3"/>
    <x v="2"/>
    <n v="4"/>
    <n v="4.7"/>
    <n v="23.716000000000001"/>
  </r>
  <r>
    <n v="1366"/>
    <d v="2024-01-01T00:00:00"/>
    <x v="0"/>
    <s v="2024"/>
    <n v="2571"/>
    <x v="3"/>
    <x v="4"/>
    <x v="0"/>
    <s v="Imported"/>
    <n v="38"/>
    <n v="1.65"/>
    <n v="0.01"/>
    <x v="3"/>
    <x v="1"/>
    <n v="5"/>
    <n v="4.3"/>
    <n v="62.072999999999993"/>
  </r>
  <r>
    <n v="1367"/>
    <d v="2024-01-02T00:00:00"/>
    <x v="0"/>
    <s v="2024"/>
    <n v="2880"/>
    <x v="1"/>
    <x v="0"/>
    <x v="0"/>
    <s v="Organic"/>
    <n v="20"/>
    <n v="1.67"/>
    <n v="0.05"/>
    <x v="3"/>
    <x v="2"/>
    <n v="3"/>
    <n v="4.4000000000000004"/>
    <n v="31.73"/>
  </r>
  <r>
    <n v="1368"/>
    <d v="2024-01-03T00:00:00"/>
    <x v="0"/>
    <s v="2024"/>
    <n v="2001"/>
    <x v="0"/>
    <x v="2"/>
    <x v="1"/>
    <s v="Organic"/>
    <n v="23"/>
    <n v="0.81"/>
    <n v="0.01"/>
    <x v="3"/>
    <x v="0"/>
    <n v="1"/>
    <n v="3.9"/>
    <n v="18.4437"/>
  </r>
  <r>
    <n v="1369"/>
    <d v="2024-01-04T00:00:00"/>
    <x v="0"/>
    <s v="2024"/>
    <n v="2896"/>
    <x v="1"/>
    <x v="2"/>
    <x v="1"/>
    <s v="Organic"/>
    <n v="45"/>
    <n v="4.82"/>
    <n v="0.11"/>
    <x v="3"/>
    <x v="2"/>
    <n v="1"/>
    <n v="4"/>
    <n v="193.041"/>
  </r>
  <r>
    <n v="1370"/>
    <d v="2024-01-05T00:00:00"/>
    <x v="0"/>
    <s v="2024"/>
    <n v="2303"/>
    <x v="3"/>
    <x v="1"/>
    <x v="4"/>
    <s v="Fresh"/>
    <n v="16"/>
    <n v="2.65"/>
    <n v="0.06"/>
    <x v="2"/>
    <x v="1"/>
    <n v="4"/>
    <n v="2.8"/>
    <n v="39.855999999999987"/>
  </r>
  <r>
    <n v="1371"/>
    <d v="2024-01-06T00:00:00"/>
    <x v="0"/>
    <s v="2024"/>
    <n v="2253"/>
    <x v="3"/>
    <x v="0"/>
    <x v="5"/>
    <s v="Fresh"/>
    <n v="42"/>
    <n v="4.53"/>
    <n v="0.16"/>
    <x v="3"/>
    <x v="1"/>
    <n v="5"/>
    <n v="3.6"/>
    <n v="159.8184"/>
  </r>
  <r>
    <n v="1372"/>
    <d v="2024-01-07T00:00:00"/>
    <x v="0"/>
    <s v="2024"/>
    <n v="2651"/>
    <x v="2"/>
    <x v="2"/>
    <x v="0"/>
    <s v="Imported"/>
    <n v="8"/>
    <n v="1.95"/>
    <n v="0.01"/>
    <x v="2"/>
    <x v="2"/>
    <n v="1"/>
    <n v="3.6"/>
    <n v="15.444000000000001"/>
  </r>
  <r>
    <n v="1373"/>
    <d v="2024-01-08T00:00:00"/>
    <x v="0"/>
    <s v="2024"/>
    <n v="2452"/>
    <x v="0"/>
    <x v="0"/>
    <x v="2"/>
    <s v="Organic"/>
    <n v="21"/>
    <n v="1.06"/>
    <n v="0.05"/>
    <x v="3"/>
    <x v="0"/>
    <n v="1"/>
    <n v="4.9000000000000004"/>
    <n v="21.146999999999998"/>
  </r>
  <r>
    <n v="1374"/>
    <d v="2024-01-09T00:00:00"/>
    <x v="0"/>
    <s v="2024"/>
    <n v="2036"/>
    <x v="1"/>
    <x v="5"/>
    <x v="3"/>
    <s v="Fresh"/>
    <n v="1"/>
    <n v="2.63"/>
    <n v="0.15"/>
    <x v="0"/>
    <x v="2"/>
    <n v="3"/>
    <n v="3.6"/>
    <n v="2.2355"/>
  </r>
  <r>
    <n v="1375"/>
    <d v="2024-01-10T00:00:00"/>
    <x v="0"/>
    <s v="2024"/>
    <n v="2159"/>
    <x v="3"/>
    <x v="3"/>
    <x v="2"/>
    <s v="Organic"/>
    <n v="8"/>
    <n v="1.01"/>
    <n v="0.12"/>
    <x v="0"/>
    <x v="0"/>
    <n v="2"/>
    <n v="3.9"/>
    <n v="7.1104000000000003"/>
  </r>
  <r>
    <n v="1376"/>
    <d v="2024-01-11T00:00:00"/>
    <x v="0"/>
    <s v="2024"/>
    <n v="2008"/>
    <x v="3"/>
    <x v="2"/>
    <x v="5"/>
    <s v="Imported"/>
    <n v="29"/>
    <n v="2.69"/>
    <n v="0.01"/>
    <x v="0"/>
    <x v="2"/>
    <n v="4"/>
    <n v="3.8"/>
    <n v="77.229900000000001"/>
  </r>
  <r>
    <n v="1377"/>
    <d v="2024-01-12T00:00:00"/>
    <x v="0"/>
    <s v="2024"/>
    <n v="2232"/>
    <x v="1"/>
    <x v="1"/>
    <x v="1"/>
    <s v="Fresh"/>
    <n v="32"/>
    <n v="4.6399999999999997"/>
    <n v="0.18"/>
    <x v="0"/>
    <x v="1"/>
    <n v="4"/>
    <n v="4.0999999999999996"/>
    <n v="121.75360000000001"/>
  </r>
  <r>
    <n v="1378"/>
    <d v="2024-01-13T00:00:00"/>
    <x v="0"/>
    <s v="2024"/>
    <n v="2098"/>
    <x v="2"/>
    <x v="5"/>
    <x v="2"/>
    <s v="Fresh"/>
    <n v="38"/>
    <n v="2.84"/>
    <n v="0.18"/>
    <x v="2"/>
    <x v="0"/>
    <n v="2"/>
    <n v="4.4000000000000004"/>
    <n v="88.494399999999999"/>
  </r>
  <r>
    <n v="1379"/>
    <d v="2024-01-14T00:00:00"/>
    <x v="0"/>
    <s v="2024"/>
    <n v="2658"/>
    <x v="3"/>
    <x v="0"/>
    <x v="4"/>
    <s v="Fresh"/>
    <n v="5"/>
    <n v="3.27"/>
    <n v="7.0000000000000007E-2"/>
    <x v="2"/>
    <x v="0"/>
    <n v="1"/>
    <n v="3.1"/>
    <n v="15.205500000000001"/>
  </r>
  <r>
    <n v="1380"/>
    <d v="2024-01-15T00:00:00"/>
    <x v="0"/>
    <s v="2024"/>
    <n v="2815"/>
    <x v="0"/>
    <x v="4"/>
    <x v="5"/>
    <s v="Imported"/>
    <n v="47"/>
    <n v="1.2"/>
    <n v="7.0000000000000007E-2"/>
    <x v="1"/>
    <x v="0"/>
    <n v="3"/>
    <n v="3.8"/>
    <n v="52.451999999999998"/>
  </r>
  <r>
    <n v="1381"/>
    <d v="2024-01-16T00:00:00"/>
    <x v="0"/>
    <s v="2024"/>
    <n v="2207"/>
    <x v="3"/>
    <x v="5"/>
    <x v="1"/>
    <s v="Organic"/>
    <n v="22"/>
    <n v="0.7"/>
    <n v="0.2"/>
    <x v="3"/>
    <x v="1"/>
    <n v="3"/>
    <n v="4.5999999999999996"/>
    <n v="12.32"/>
  </r>
  <r>
    <n v="1382"/>
    <d v="2024-01-17T00:00:00"/>
    <x v="0"/>
    <s v="2024"/>
    <n v="2130"/>
    <x v="0"/>
    <x v="2"/>
    <x v="3"/>
    <s v="Fresh"/>
    <n v="47"/>
    <n v="1"/>
    <n v="0.13"/>
    <x v="0"/>
    <x v="2"/>
    <n v="4"/>
    <n v="3.7"/>
    <n v="40.89"/>
  </r>
  <r>
    <n v="1383"/>
    <d v="2024-01-18T00:00:00"/>
    <x v="0"/>
    <s v="2024"/>
    <n v="2403"/>
    <x v="1"/>
    <x v="0"/>
    <x v="1"/>
    <s v="Imported"/>
    <n v="34"/>
    <n v="3.19"/>
    <n v="0.11"/>
    <x v="2"/>
    <x v="1"/>
    <n v="3"/>
    <n v="3.2"/>
    <n v="96.529399999999995"/>
  </r>
  <r>
    <n v="1384"/>
    <d v="2024-01-19T00:00:00"/>
    <x v="0"/>
    <s v="2024"/>
    <n v="2151"/>
    <x v="0"/>
    <x v="3"/>
    <x v="4"/>
    <s v="Organic"/>
    <n v="1"/>
    <n v="0.93"/>
    <n v="0.17"/>
    <x v="3"/>
    <x v="0"/>
    <n v="6"/>
    <n v="4.0999999999999996"/>
    <n v="0.77190000000000003"/>
  </r>
  <r>
    <n v="1385"/>
    <d v="2024-01-20T00:00:00"/>
    <x v="0"/>
    <s v="2024"/>
    <n v="2053"/>
    <x v="1"/>
    <x v="5"/>
    <x v="5"/>
    <s v="Imported"/>
    <n v="26"/>
    <n v="2.19"/>
    <n v="0.06"/>
    <x v="3"/>
    <x v="2"/>
    <n v="2"/>
    <n v="4.5999999999999996"/>
    <n v="53.523599999999988"/>
  </r>
  <r>
    <n v="1386"/>
    <d v="2024-01-21T00:00:00"/>
    <x v="0"/>
    <s v="2024"/>
    <n v="2119"/>
    <x v="0"/>
    <x v="2"/>
    <x v="3"/>
    <s v="Organic"/>
    <n v="43"/>
    <n v="2.98"/>
    <n v="0.09"/>
    <x v="2"/>
    <x v="1"/>
    <n v="1"/>
    <n v="2.7"/>
    <n v="116.6074"/>
  </r>
  <r>
    <n v="1387"/>
    <d v="2024-01-22T00:00:00"/>
    <x v="0"/>
    <s v="2024"/>
    <n v="2672"/>
    <x v="1"/>
    <x v="1"/>
    <x v="4"/>
    <s v="Imported"/>
    <n v="10"/>
    <n v="2.25"/>
    <n v="0.05"/>
    <x v="0"/>
    <x v="0"/>
    <n v="6"/>
    <n v="4.4000000000000004"/>
    <n v="21.375"/>
  </r>
  <r>
    <n v="1388"/>
    <d v="2024-01-23T00:00:00"/>
    <x v="0"/>
    <s v="2024"/>
    <n v="2919"/>
    <x v="0"/>
    <x v="4"/>
    <x v="1"/>
    <s v="Organic"/>
    <n v="30"/>
    <n v="1.24"/>
    <n v="0.16"/>
    <x v="1"/>
    <x v="0"/>
    <n v="2"/>
    <n v="4.5999999999999996"/>
    <n v="31.248000000000001"/>
  </r>
  <r>
    <n v="1389"/>
    <d v="2024-01-24T00:00:00"/>
    <x v="0"/>
    <s v="2024"/>
    <n v="2627"/>
    <x v="2"/>
    <x v="0"/>
    <x v="4"/>
    <s v="Fresh"/>
    <n v="18"/>
    <n v="1.73"/>
    <n v="0.11"/>
    <x v="3"/>
    <x v="1"/>
    <n v="5"/>
    <n v="3.7"/>
    <n v="27.714600000000001"/>
  </r>
  <r>
    <n v="1390"/>
    <d v="2024-01-25T00:00:00"/>
    <x v="0"/>
    <s v="2024"/>
    <n v="2586"/>
    <x v="0"/>
    <x v="5"/>
    <x v="5"/>
    <s v="Organic"/>
    <n v="17"/>
    <n v="4.68"/>
    <n v="0.13"/>
    <x v="1"/>
    <x v="1"/>
    <n v="4"/>
    <n v="5"/>
    <n v="69.217200000000005"/>
  </r>
  <r>
    <n v="1391"/>
    <d v="2024-01-26T00:00:00"/>
    <x v="0"/>
    <s v="2024"/>
    <n v="2624"/>
    <x v="0"/>
    <x v="5"/>
    <x v="0"/>
    <s v="Imported"/>
    <n v="26"/>
    <n v="3.54"/>
    <n v="0.05"/>
    <x v="0"/>
    <x v="1"/>
    <n v="3"/>
    <n v="4.5"/>
    <n v="87.438000000000002"/>
  </r>
  <r>
    <n v="1392"/>
    <d v="2024-01-27T00:00:00"/>
    <x v="0"/>
    <s v="2024"/>
    <n v="2967"/>
    <x v="2"/>
    <x v="3"/>
    <x v="4"/>
    <s v="Imported"/>
    <n v="8"/>
    <n v="2.73"/>
    <n v="0.04"/>
    <x v="0"/>
    <x v="0"/>
    <n v="5"/>
    <n v="4.4000000000000004"/>
    <n v="20.9664"/>
  </r>
  <r>
    <n v="1393"/>
    <d v="2024-01-28T00:00:00"/>
    <x v="0"/>
    <s v="2024"/>
    <n v="2419"/>
    <x v="3"/>
    <x v="3"/>
    <x v="4"/>
    <s v="Organic"/>
    <n v="47"/>
    <n v="0.56000000000000005"/>
    <n v="0.1"/>
    <x v="1"/>
    <x v="1"/>
    <n v="3"/>
    <n v="4.4000000000000004"/>
    <n v="23.687999999999999"/>
  </r>
  <r>
    <n v="1394"/>
    <d v="2024-01-29T00:00:00"/>
    <x v="0"/>
    <s v="2024"/>
    <n v="2421"/>
    <x v="3"/>
    <x v="1"/>
    <x v="1"/>
    <s v="Fresh"/>
    <n v="40"/>
    <n v="4.97"/>
    <n v="0.15"/>
    <x v="0"/>
    <x v="0"/>
    <n v="6"/>
    <n v="2.9"/>
    <n v="168.98"/>
  </r>
  <r>
    <n v="1395"/>
    <d v="2024-01-30T00:00:00"/>
    <x v="0"/>
    <s v="2024"/>
    <n v="2103"/>
    <x v="0"/>
    <x v="4"/>
    <x v="1"/>
    <s v="Fresh"/>
    <n v="49"/>
    <n v="3.52"/>
    <n v="0.11"/>
    <x v="3"/>
    <x v="1"/>
    <n v="1"/>
    <n v="3"/>
    <n v="153.50720000000001"/>
  </r>
  <r>
    <n v="1396"/>
    <d v="2024-01-31T00:00:00"/>
    <x v="0"/>
    <s v="2024"/>
    <n v="2851"/>
    <x v="2"/>
    <x v="1"/>
    <x v="3"/>
    <s v="Organic"/>
    <n v="12"/>
    <n v="1.93"/>
    <n v="0.01"/>
    <x v="1"/>
    <x v="0"/>
    <n v="1"/>
    <n v="3.7"/>
    <n v="22.9284"/>
  </r>
  <r>
    <n v="1397"/>
    <d v="2024-02-01T00:00:00"/>
    <x v="1"/>
    <s v="2024"/>
    <n v="2253"/>
    <x v="0"/>
    <x v="2"/>
    <x v="1"/>
    <s v="Organic"/>
    <n v="27"/>
    <n v="4.46"/>
    <n v="0.17"/>
    <x v="0"/>
    <x v="0"/>
    <n v="1"/>
    <n v="3.2"/>
    <n v="99.948599999999999"/>
  </r>
  <r>
    <n v="1398"/>
    <d v="2024-02-02T00:00:00"/>
    <x v="1"/>
    <s v="2024"/>
    <n v="2226"/>
    <x v="1"/>
    <x v="2"/>
    <x v="2"/>
    <s v="Imported"/>
    <n v="8"/>
    <n v="1.66"/>
    <n v="0.01"/>
    <x v="1"/>
    <x v="2"/>
    <n v="3"/>
    <n v="3.5"/>
    <n v="13.1472"/>
  </r>
  <r>
    <n v="1399"/>
    <d v="2024-02-03T00:00:00"/>
    <x v="1"/>
    <s v="2024"/>
    <n v="2111"/>
    <x v="1"/>
    <x v="1"/>
    <x v="5"/>
    <s v="Fresh"/>
    <n v="25"/>
    <n v="2.95"/>
    <n v="0.19"/>
    <x v="3"/>
    <x v="1"/>
    <n v="5"/>
    <n v="4.7"/>
    <n v="59.737499999999997"/>
  </r>
  <r>
    <n v="1400"/>
    <d v="2024-02-04T00:00:00"/>
    <x v="1"/>
    <s v="2024"/>
    <n v="2509"/>
    <x v="0"/>
    <x v="4"/>
    <x v="5"/>
    <s v="Organic"/>
    <n v="46"/>
    <n v="3.36"/>
    <n v="0.01"/>
    <x v="0"/>
    <x v="1"/>
    <n v="1"/>
    <n v="4.5999999999999996"/>
    <n v="153.0143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60:B324" firstHeaderRow="1" firstDataRow="1" firstDataCol="1"/>
  <pivotFields count="17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7">
        <item x="5"/>
        <item x="3"/>
        <item x="2"/>
        <item x="1"/>
        <item x="0"/>
        <item x="4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3">
    <field x="12"/>
    <field x="7"/>
    <field x="6"/>
  </rowFields>
  <rowItems count="16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 v="1"/>
    </i>
    <i r="2">
      <x v="2"/>
    </i>
    <i r="2">
      <x v="3"/>
    </i>
    <i r="2">
      <x v="4"/>
    </i>
    <i r="2">
      <x v="5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1">
      <x v="5"/>
    </i>
    <i r="2">
      <x/>
    </i>
    <i r="2">
      <x v="2"/>
    </i>
    <i r="2">
      <x v="3"/>
    </i>
    <i r="2">
      <x v="4"/>
    </i>
    <i r="2">
      <x v="5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5"/>
    </i>
    <i r="1">
      <x v="2"/>
    </i>
    <i r="2">
      <x/>
    </i>
    <i r="2">
      <x v="1"/>
    </i>
    <i r="2">
      <x v="2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1">
      <x v="5"/>
    </i>
    <i r="2">
      <x v="1"/>
    </i>
    <i r="2">
      <x v="2"/>
    </i>
    <i r="2">
      <x v="3"/>
    </i>
    <i r="2">
      <x v="4"/>
    </i>
    <i r="2">
      <x v="5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2:C157" firstHeaderRow="0" firstDataRow="1" firstDataCol="1"/>
  <pivotFields count="17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>
      <items count="7">
        <item x="4"/>
        <item x="5"/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6" baseField="0" baseItem="0"/>
    <dataField name="Average of Discount" fld="11" subtotal="average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9:B150" firstHeaderRow="1" firstDataRow="1" firstDataCol="1"/>
  <pivotFields count="17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2">
    <field x="7"/>
    <field x="5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Customer_Rating" fld="15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1:B116" firstHeaderRow="1" firstDataRow="1" firstDataCol="1"/>
  <pivotFields count="17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>
      <items count="7">
        <item x="4"/>
        <item x="5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Time_Days" fld="14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7:C108" firstHeaderRow="0" firstDataRow="1" firstDataCol="1"/>
  <pivotFields count="17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axis="axisRow" showAll="0" sortType="ascending">
      <items count="7">
        <item x="4"/>
        <item x="5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2">
    <field x="7"/>
    <field x="5"/>
  </rowFields>
  <rowItems count="31">
    <i>
      <x v="2"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6" baseField="0" baseItem="0"/>
    <dataField name="Average of Discount" fld="11" subtotal="average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7:C74" firstHeaderRow="0" firstDataRow="1" firstDataCol="1"/>
  <pivotFields count="17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axis="axisRow" showAll="0" sortType="ascending">
      <items count="7">
        <item x="4"/>
        <item x="5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7"/>
  </rowFields>
  <rowItems count="7">
    <i>
      <x v="2"/>
    </i>
    <i>
      <x v="1"/>
    </i>
    <i>
      <x v="4"/>
    </i>
    <i>
      <x v="3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6" baseField="0" baseItem="0"/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1:B64" firstHeaderRow="1" firstDataRow="1" firstDataCol="1"/>
  <pivotFields count="17"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 sortType="ascending">
      <items count="7">
        <item x="4"/>
        <item x="5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4:B4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 sortType="ascending">
      <items count="7">
        <item x="4"/>
        <item x="5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B41" firstHeaderRow="1" firstDataRow="1" firstDataCol="1"/>
  <pivotFields count="17">
    <pivotField showAll="0"/>
    <pivotField numFmtId="14" showAll="0"/>
    <pivotField showAll="0"/>
    <pivotField showAll="0"/>
    <pivotField showAll="0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5"/>
        <item x="3"/>
        <item x="2"/>
        <item x="1"/>
        <item x="0"/>
        <item x="4"/>
        <item t="default"/>
      </items>
    </pivotField>
    <pivotField showAll="0" sortType="ascending">
      <items count="7">
        <item x="4"/>
        <item x="5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5"/>
    <field x="6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7">
        <item x="4"/>
        <item x="5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7">
    <i>
      <x v="2"/>
    </i>
    <i>
      <x v="1"/>
    </i>
    <i>
      <x v="4"/>
    </i>
    <i>
      <x v="3"/>
    </i>
    <i>
      <x/>
    </i>
    <i>
      <x v="5"/>
    </i>
    <i t="grand">
      <x/>
    </i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ruits_Vendor" displayName="Fruits_Vendor" ref="A1:Q401" totalsRowShown="0" headerRowDxfId="3" headerRowBorderDxfId="4" tableBorderDxfId="5">
  <autoFilter ref="A1:Q401"/>
  <tableColumns count="17">
    <tableColumn id="1" name="Order_ID"/>
    <tableColumn id="2" name="Order_Date" dataDxfId="2"/>
    <tableColumn id="16" name="Month" dataDxfId="1">
      <calculatedColumnFormula>TEXT(Fruits_Vendor[[#This Row],[Order_Date]],"mmmm")</calculatedColumnFormula>
    </tableColumn>
    <tableColumn id="17" name="Year" dataDxfId="0">
      <calculatedColumnFormula>TEXT(Fruits_Vendor[[#This Row],[Order_Date]],"yyyy")</calculatedColumnFormula>
    </tableColumn>
    <tableColumn id="3" name="Customer_ID"/>
    <tableColumn id="4" name="Region"/>
    <tableColumn id="5" name="City"/>
    <tableColumn id="6" name="Product"/>
    <tableColumn id="7" name="Category"/>
    <tableColumn id="8" name="Quantity"/>
    <tableColumn id="9" name="Unit_Price"/>
    <tableColumn id="10" name="Discount"/>
    <tableColumn id="11" name="Sales_Rep"/>
    <tableColumn id="12" name="Channel"/>
    <tableColumn id="13" name="Delivery_Time_Days"/>
    <tableColumn id="14" name="Customer_Rating"/>
    <tableColumn id="15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24"/>
  <sheetViews>
    <sheetView tabSelected="1" topLeftCell="A310" workbookViewId="0">
      <selection activeCell="E316" sqref="E316"/>
    </sheetView>
  </sheetViews>
  <sheetFormatPr defaultRowHeight="15" x14ac:dyDescent="0.25"/>
  <cols>
    <col min="1" max="1" width="17.140625" customWidth="1"/>
    <col min="2" max="2" width="15.5703125" customWidth="1"/>
    <col min="3" max="3" width="19" customWidth="1"/>
  </cols>
  <sheetData>
    <row r="3" spans="1:2" x14ac:dyDescent="0.25">
      <c r="A3" s="4" t="s">
        <v>43</v>
      </c>
      <c r="B3" t="s">
        <v>45</v>
      </c>
    </row>
    <row r="4" spans="1:2" x14ac:dyDescent="0.25">
      <c r="A4" s="5" t="s">
        <v>27</v>
      </c>
      <c r="B4" s="6">
        <v>3540.2917999999995</v>
      </c>
    </row>
    <row r="5" spans="1:2" x14ac:dyDescent="0.25">
      <c r="A5" s="5" t="s">
        <v>30</v>
      </c>
      <c r="B5" s="6">
        <v>3813.6570999999999</v>
      </c>
    </row>
    <row r="6" spans="1:2" x14ac:dyDescent="0.25">
      <c r="A6" s="5" t="s">
        <v>28</v>
      </c>
      <c r="B6" s="6">
        <v>3840.7113000000008</v>
      </c>
    </row>
    <row r="7" spans="1:2" x14ac:dyDescent="0.25">
      <c r="A7" s="5" t="s">
        <v>25</v>
      </c>
      <c r="B7" s="6">
        <v>3846.041099999999</v>
      </c>
    </row>
    <row r="8" spans="1:2" x14ac:dyDescent="0.25">
      <c r="A8" s="5" t="s">
        <v>29</v>
      </c>
      <c r="B8" s="6">
        <v>4181.7009000000007</v>
      </c>
    </row>
    <row r="9" spans="1:2" x14ac:dyDescent="0.25">
      <c r="A9" s="5" t="s">
        <v>26</v>
      </c>
      <c r="B9" s="6">
        <v>5538.7282999999989</v>
      </c>
    </row>
    <row r="10" spans="1:2" x14ac:dyDescent="0.25">
      <c r="A10" s="5" t="s">
        <v>44</v>
      </c>
      <c r="B10" s="6">
        <v>24761.130499999996</v>
      </c>
    </row>
    <row r="12" spans="1:2" x14ac:dyDescent="0.25">
      <c r="A12" s="4" t="s">
        <v>43</v>
      </c>
      <c r="B12" t="s">
        <v>45</v>
      </c>
    </row>
    <row r="13" spans="1:2" x14ac:dyDescent="0.25">
      <c r="A13" s="5" t="s">
        <v>16</v>
      </c>
      <c r="B13" s="6">
        <v>5673.8581999999997</v>
      </c>
    </row>
    <row r="14" spans="1:2" x14ac:dyDescent="0.25">
      <c r="A14" s="7" t="s">
        <v>24</v>
      </c>
      <c r="B14" s="6">
        <v>1047.4045999999998</v>
      </c>
    </row>
    <row r="15" spans="1:2" x14ac:dyDescent="0.25">
      <c r="A15" s="7" t="s">
        <v>22</v>
      </c>
      <c r="B15" s="6">
        <v>973.96079999999995</v>
      </c>
    </row>
    <row r="16" spans="1:2" x14ac:dyDescent="0.25">
      <c r="A16" s="7" t="s">
        <v>21</v>
      </c>
      <c r="B16" s="6">
        <v>1302.8298</v>
      </c>
    </row>
    <row r="17" spans="1:2" x14ac:dyDescent="0.25">
      <c r="A17" s="7" t="s">
        <v>20</v>
      </c>
      <c r="B17" s="6">
        <v>1245.0089999999998</v>
      </c>
    </row>
    <row r="18" spans="1:2" x14ac:dyDescent="0.25">
      <c r="A18" s="7" t="s">
        <v>19</v>
      </c>
      <c r="B18" s="6">
        <v>288.5829</v>
      </c>
    </row>
    <row r="19" spans="1:2" x14ac:dyDescent="0.25">
      <c r="A19" s="7" t="s">
        <v>23</v>
      </c>
      <c r="B19" s="6">
        <v>816.07109999999989</v>
      </c>
    </row>
    <row r="20" spans="1:2" x14ac:dyDescent="0.25">
      <c r="A20" s="5" t="s">
        <v>17</v>
      </c>
      <c r="B20" s="6">
        <v>5987.7696999999998</v>
      </c>
    </row>
    <row r="21" spans="1:2" x14ac:dyDescent="0.25">
      <c r="A21" s="7" t="s">
        <v>24</v>
      </c>
      <c r="B21" s="6">
        <v>1418.2187999999999</v>
      </c>
    </row>
    <row r="22" spans="1:2" x14ac:dyDescent="0.25">
      <c r="A22" s="7" t="s">
        <v>22</v>
      </c>
      <c r="B22" s="6">
        <v>611.35950000000003</v>
      </c>
    </row>
    <row r="23" spans="1:2" x14ac:dyDescent="0.25">
      <c r="A23" s="7" t="s">
        <v>21</v>
      </c>
      <c r="B23" s="6">
        <v>942.5925000000002</v>
      </c>
    </row>
    <row r="24" spans="1:2" x14ac:dyDescent="0.25">
      <c r="A24" s="7" t="s">
        <v>20</v>
      </c>
      <c r="B24" s="6">
        <v>1195.527</v>
      </c>
    </row>
    <row r="25" spans="1:2" x14ac:dyDescent="0.25">
      <c r="A25" s="7" t="s">
        <v>19</v>
      </c>
      <c r="B25" s="6">
        <v>1081.3036000000002</v>
      </c>
    </row>
    <row r="26" spans="1:2" x14ac:dyDescent="0.25">
      <c r="A26" s="7" t="s">
        <v>23</v>
      </c>
      <c r="B26" s="6">
        <v>738.76830000000007</v>
      </c>
    </row>
    <row r="27" spans="1:2" x14ac:dyDescent="0.25">
      <c r="A27" s="5" t="s">
        <v>18</v>
      </c>
      <c r="B27" s="6">
        <v>6053.3294000000005</v>
      </c>
    </row>
    <row r="28" spans="1:2" x14ac:dyDescent="0.25">
      <c r="A28" s="7" t="s">
        <v>24</v>
      </c>
      <c r="B28" s="6">
        <v>774.77119999999991</v>
      </c>
    </row>
    <row r="29" spans="1:2" x14ac:dyDescent="0.25">
      <c r="A29" s="7" t="s">
        <v>22</v>
      </c>
      <c r="B29" s="6">
        <v>1114.3116000000002</v>
      </c>
    </row>
    <row r="30" spans="1:2" x14ac:dyDescent="0.25">
      <c r="A30" s="7" t="s">
        <v>21</v>
      </c>
      <c r="B30" s="6">
        <v>1213.8451000000002</v>
      </c>
    </row>
    <row r="31" spans="1:2" x14ac:dyDescent="0.25">
      <c r="A31" s="7" t="s">
        <v>20</v>
      </c>
      <c r="B31" s="6">
        <v>1322.7800999999997</v>
      </c>
    </row>
    <row r="32" spans="1:2" x14ac:dyDescent="0.25">
      <c r="A32" s="7" t="s">
        <v>19</v>
      </c>
      <c r="B32" s="6">
        <v>1043.6975000000002</v>
      </c>
    </row>
    <row r="33" spans="1:2" x14ac:dyDescent="0.25">
      <c r="A33" s="7" t="s">
        <v>23</v>
      </c>
      <c r="B33" s="6">
        <v>583.92389999999989</v>
      </c>
    </row>
    <row r="34" spans="1:2" x14ac:dyDescent="0.25">
      <c r="A34" s="5" t="s">
        <v>15</v>
      </c>
      <c r="B34" s="6">
        <v>7046.1732000000011</v>
      </c>
    </row>
    <row r="35" spans="1:2" x14ac:dyDescent="0.25">
      <c r="A35" s="7" t="s">
        <v>24</v>
      </c>
      <c r="B35" s="6">
        <v>867.8193</v>
      </c>
    </row>
    <row r="36" spans="1:2" x14ac:dyDescent="0.25">
      <c r="A36" s="7" t="s">
        <v>22</v>
      </c>
      <c r="B36" s="6">
        <v>1321.1922</v>
      </c>
    </row>
    <row r="37" spans="1:2" x14ac:dyDescent="0.25">
      <c r="A37" s="7" t="s">
        <v>21</v>
      </c>
      <c r="B37" s="6">
        <v>1479.3103000000003</v>
      </c>
    </row>
    <row r="38" spans="1:2" x14ac:dyDescent="0.25">
      <c r="A38" s="7" t="s">
        <v>20</v>
      </c>
      <c r="B38" s="6">
        <v>695.79790000000003</v>
      </c>
    </row>
    <row r="39" spans="1:2" x14ac:dyDescent="0.25">
      <c r="A39" s="7" t="s">
        <v>19</v>
      </c>
      <c r="B39" s="6">
        <v>887.51940000000002</v>
      </c>
    </row>
    <row r="40" spans="1:2" x14ac:dyDescent="0.25">
      <c r="A40" s="7" t="s">
        <v>23</v>
      </c>
      <c r="B40" s="6">
        <v>1794.5341000000001</v>
      </c>
    </row>
    <row r="41" spans="1:2" x14ac:dyDescent="0.25">
      <c r="A41" s="5" t="s">
        <v>44</v>
      </c>
      <c r="B41" s="6">
        <v>24761.130499999999</v>
      </c>
    </row>
    <row r="44" spans="1:2" x14ac:dyDescent="0.25">
      <c r="A44" s="4" t="s">
        <v>43</v>
      </c>
      <c r="B44" t="s">
        <v>45</v>
      </c>
    </row>
    <row r="45" spans="1:2" x14ac:dyDescent="0.25">
      <c r="A45" s="5" t="s">
        <v>39</v>
      </c>
      <c r="B45" s="6">
        <v>9060.5538999999953</v>
      </c>
    </row>
    <row r="46" spans="1:2" x14ac:dyDescent="0.25">
      <c r="A46" s="5" t="s">
        <v>38</v>
      </c>
      <c r="B46" s="6">
        <v>8556.8585999999941</v>
      </c>
    </row>
    <row r="47" spans="1:2" x14ac:dyDescent="0.25">
      <c r="A47" s="5" t="s">
        <v>40</v>
      </c>
      <c r="B47" s="6">
        <v>7143.7180000000035</v>
      </c>
    </row>
    <row r="48" spans="1:2" x14ac:dyDescent="0.25">
      <c r="A48" s="5" t="s">
        <v>44</v>
      </c>
      <c r="B48" s="6">
        <v>24761.130499999996</v>
      </c>
    </row>
    <row r="51" spans="1:2" x14ac:dyDescent="0.25">
      <c r="A51" s="4" t="s">
        <v>43</v>
      </c>
      <c r="B51" t="s">
        <v>45</v>
      </c>
    </row>
    <row r="52" spans="1:2" x14ac:dyDescent="0.25">
      <c r="A52" s="5" t="s">
        <v>46</v>
      </c>
      <c r="B52" s="6">
        <v>3906.4815999999987</v>
      </c>
    </row>
    <row r="53" spans="1:2" x14ac:dyDescent="0.25">
      <c r="A53" s="5" t="s">
        <v>47</v>
      </c>
      <c r="B53" s="6">
        <v>1903.9981000000002</v>
      </c>
    </row>
    <row r="54" spans="1:2" x14ac:dyDescent="0.25">
      <c r="A54" s="5" t="s">
        <v>48</v>
      </c>
      <c r="B54" s="6">
        <v>1975.9519999999995</v>
      </c>
    </row>
    <row r="55" spans="1:2" x14ac:dyDescent="0.25">
      <c r="A55" s="5" t="s">
        <v>49</v>
      </c>
      <c r="B55" s="6">
        <v>1863.2274</v>
      </c>
    </row>
    <row r="56" spans="1:2" x14ac:dyDescent="0.25">
      <c r="A56" s="5" t="s">
        <v>50</v>
      </c>
      <c r="B56" s="6">
        <v>2017.2363999999998</v>
      </c>
    </row>
    <row r="57" spans="1:2" x14ac:dyDescent="0.25">
      <c r="A57" s="5" t="s">
        <v>51</v>
      </c>
      <c r="B57" s="6">
        <v>1765.8741000000005</v>
      </c>
    </row>
    <row r="58" spans="1:2" x14ac:dyDescent="0.25">
      <c r="A58" s="5" t="s">
        <v>52</v>
      </c>
      <c r="B58" s="6">
        <v>1677.7579999999998</v>
      </c>
    </row>
    <row r="59" spans="1:2" x14ac:dyDescent="0.25">
      <c r="A59" s="5" t="s">
        <v>53</v>
      </c>
      <c r="B59" s="6">
        <v>1849.0774999999999</v>
      </c>
    </row>
    <row r="60" spans="1:2" x14ac:dyDescent="0.25">
      <c r="A60" s="5" t="s">
        <v>54</v>
      </c>
      <c r="B60" s="6">
        <v>1839.2123999999999</v>
      </c>
    </row>
    <row r="61" spans="1:2" x14ac:dyDescent="0.25">
      <c r="A61" s="5" t="s">
        <v>55</v>
      </c>
      <c r="B61" s="6">
        <v>1932.3303000000008</v>
      </c>
    </row>
    <row r="62" spans="1:2" x14ac:dyDescent="0.25">
      <c r="A62" s="5" t="s">
        <v>56</v>
      </c>
      <c r="B62" s="6">
        <v>1885.5897</v>
      </c>
    </row>
    <row r="63" spans="1:2" x14ac:dyDescent="0.25">
      <c r="A63" s="5" t="s">
        <v>57</v>
      </c>
      <c r="B63" s="6">
        <v>2144.393</v>
      </c>
    </row>
    <row r="64" spans="1:2" x14ac:dyDescent="0.25">
      <c r="A64" s="5" t="s">
        <v>44</v>
      </c>
      <c r="B64" s="6">
        <v>24761.130500000003</v>
      </c>
    </row>
    <row r="67" spans="1:3" x14ac:dyDescent="0.25">
      <c r="A67" s="4" t="s">
        <v>43</v>
      </c>
      <c r="B67" t="s">
        <v>45</v>
      </c>
      <c r="C67" t="s">
        <v>58</v>
      </c>
    </row>
    <row r="68" spans="1:3" x14ac:dyDescent="0.25">
      <c r="A68" s="5" t="s">
        <v>27</v>
      </c>
      <c r="B68" s="6">
        <v>3540.2917999999995</v>
      </c>
      <c r="C68" s="6">
        <v>1464</v>
      </c>
    </row>
    <row r="69" spans="1:3" x14ac:dyDescent="0.25">
      <c r="A69" s="5" t="s">
        <v>30</v>
      </c>
      <c r="B69" s="6">
        <v>3813.6570999999999</v>
      </c>
      <c r="C69" s="6">
        <v>1524</v>
      </c>
    </row>
    <row r="70" spans="1:3" x14ac:dyDescent="0.25">
      <c r="A70" s="5" t="s">
        <v>28</v>
      </c>
      <c r="B70" s="6">
        <v>3840.7113000000008</v>
      </c>
      <c r="C70" s="6">
        <v>1519</v>
      </c>
    </row>
    <row r="71" spans="1:3" x14ac:dyDescent="0.25">
      <c r="A71" s="5" t="s">
        <v>25</v>
      </c>
      <c r="B71" s="6">
        <v>3846.041099999999</v>
      </c>
      <c r="C71" s="6">
        <v>1546</v>
      </c>
    </row>
    <row r="72" spans="1:3" x14ac:dyDescent="0.25">
      <c r="A72" s="5" t="s">
        <v>29</v>
      </c>
      <c r="B72" s="6">
        <v>4181.7009000000007</v>
      </c>
      <c r="C72" s="6">
        <v>1739</v>
      </c>
    </row>
    <row r="73" spans="1:3" x14ac:dyDescent="0.25">
      <c r="A73" s="5" t="s">
        <v>26</v>
      </c>
      <c r="B73" s="6">
        <v>5538.7282999999989</v>
      </c>
      <c r="C73" s="6">
        <v>2138</v>
      </c>
    </row>
    <row r="74" spans="1:3" x14ac:dyDescent="0.25">
      <c r="A74" s="5" t="s">
        <v>44</v>
      </c>
      <c r="B74" s="6">
        <v>24761.130499999996</v>
      </c>
      <c r="C74" s="6">
        <v>9930</v>
      </c>
    </row>
    <row r="77" spans="1:3" x14ac:dyDescent="0.25">
      <c r="A77" s="4" t="s">
        <v>43</v>
      </c>
      <c r="B77" t="s">
        <v>45</v>
      </c>
      <c r="C77" t="s">
        <v>59</v>
      </c>
    </row>
    <row r="78" spans="1:3" x14ac:dyDescent="0.25">
      <c r="A78" s="5" t="s">
        <v>27</v>
      </c>
      <c r="B78" s="6">
        <v>3540.2918</v>
      </c>
      <c r="C78" s="6">
        <v>0.09</v>
      </c>
    </row>
    <row r="79" spans="1:3" x14ac:dyDescent="0.25">
      <c r="A79" s="7" t="s">
        <v>16</v>
      </c>
      <c r="B79" s="6">
        <v>737.24680000000001</v>
      </c>
      <c r="C79" s="6">
        <v>8.2000000000000017E-2</v>
      </c>
    </row>
    <row r="80" spans="1:3" x14ac:dyDescent="0.25">
      <c r="A80" s="7" t="s">
        <v>15</v>
      </c>
      <c r="B80" s="6">
        <v>927.48899999999992</v>
      </c>
      <c r="C80" s="6">
        <v>0.10428571428571426</v>
      </c>
    </row>
    <row r="81" spans="1:3" x14ac:dyDescent="0.25">
      <c r="A81" s="7" t="s">
        <v>17</v>
      </c>
      <c r="B81" s="6">
        <v>1066.3593000000001</v>
      </c>
      <c r="C81" s="6">
        <v>0.1075</v>
      </c>
    </row>
    <row r="82" spans="1:3" x14ac:dyDescent="0.25">
      <c r="A82" s="7" t="s">
        <v>18</v>
      </c>
      <c r="B82" s="6">
        <v>809.19669999999985</v>
      </c>
      <c r="C82" s="6">
        <v>5.6666666666666671E-2</v>
      </c>
    </row>
    <row r="83" spans="1:3" x14ac:dyDescent="0.25">
      <c r="A83" s="5" t="s">
        <v>30</v>
      </c>
      <c r="B83" s="6">
        <v>3813.6570999999985</v>
      </c>
      <c r="C83" s="6">
        <v>0.10423728813559324</v>
      </c>
    </row>
    <row r="84" spans="1:3" x14ac:dyDescent="0.25">
      <c r="A84" s="7" t="s">
        <v>16</v>
      </c>
      <c r="B84" s="6">
        <v>565.34649999999999</v>
      </c>
      <c r="C84" s="6">
        <v>0.11846153846153847</v>
      </c>
    </row>
    <row r="85" spans="1:3" x14ac:dyDescent="0.25">
      <c r="A85" s="7" t="s">
        <v>15</v>
      </c>
      <c r="B85" s="6">
        <v>1567.9021000000002</v>
      </c>
      <c r="C85" s="6">
        <v>6.6842105263157911E-2</v>
      </c>
    </row>
    <row r="86" spans="1:3" x14ac:dyDescent="0.25">
      <c r="A86" s="7" t="s">
        <v>17</v>
      </c>
      <c r="B86" s="6">
        <v>523.85699999999997</v>
      </c>
      <c r="C86" s="6">
        <v>0.11818181818181817</v>
      </c>
    </row>
    <row r="87" spans="1:3" x14ac:dyDescent="0.25">
      <c r="A87" s="7" t="s">
        <v>18</v>
      </c>
      <c r="B87" s="6">
        <v>1156.5515</v>
      </c>
      <c r="C87" s="6">
        <v>0.1275</v>
      </c>
    </row>
    <row r="88" spans="1:3" x14ac:dyDescent="0.25">
      <c r="A88" s="5" t="s">
        <v>28</v>
      </c>
      <c r="B88" s="6">
        <v>3840.7113000000008</v>
      </c>
      <c r="C88" s="6">
        <v>0.10271428571428569</v>
      </c>
    </row>
    <row r="89" spans="1:3" x14ac:dyDescent="0.25">
      <c r="A89" s="7" t="s">
        <v>16</v>
      </c>
      <c r="B89" s="6">
        <v>703.35550000000001</v>
      </c>
      <c r="C89" s="6">
        <v>8.3076923076923104E-2</v>
      </c>
    </row>
    <row r="90" spans="1:3" x14ac:dyDescent="0.25">
      <c r="A90" s="7" t="s">
        <v>15</v>
      </c>
      <c r="B90" s="6">
        <v>1185.7707000000003</v>
      </c>
      <c r="C90" s="6">
        <v>0.11333333333333334</v>
      </c>
    </row>
    <row r="91" spans="1:3" x14ac:dyDescent="0.25">
      <c r="A91" s="7" t="s">
        <v>17</v>
      </c>
      <c r="B91" s="6">
        <v>1191.0244</v>
      </c>
      <c r="C91" s="6">
        <v>9.9500000000000005E-2</v>
      </c>
    </row>
    <row r="92" spans="1:3" x14ac:dyDescent="0.25">
      <c r="A92" s="7" t="s">
        <v>18</v>
      </c>
      <c r="B92" s="6">
        <v>760.5607</v>
      </c>
      <c r="C92" s="6">
        <v>0.10947368421052632</v>
      </c>
    </row>
    <row r="93" spans="1:3" x14ac:dyDescent="0.25">
      <c r="A93" s="5" t="s">
        <v>25</v>
      </c>
      <c r="B93" s="6">
        <v>3846.0410999999995</v>
      </c>
      <c r="C93" s="6">
        <v>9.1774193548387076E-2</v>
      </c>
    </row>
    <row r="94" spans="1:3" x14ac:dyDescent="0.25">
      <c r="A94" s="7" t="s">
        <v>16</v>
      </c>
      <c r="B94" s="6">
        <v>493.15770000000003</v>
      </c>
      <c r="C94" s="6">
        <v>0.11571428571428573</v>
      </c>
    </row>
    <row r="95" spans="1:3" x14ac:dyDescent="0.25">
      <c r="A95" s="7" t="s">
        <v>15</v>
      </c>
      <c r="B95" s="6">
        <v>1052.8598</v>
      </c>
      <c r="C95" s="6">
        <v>8.9374999999999996E-2</v>
      </c>
    </row>
    <row r="96" spans="1:3" x14ac:dyDescent="0.25">
      <c r="A96" s="7" t="s">
        <v>17</v>
      </c>
      <c r="B96" s="6">
        <v>1480.4033000000002</v>
      </c>
      <c r="C96" s="6">
        <v>0.10681818181818178</v>
      </c>
    </row>
    <row r="97" spans="1:3" x14ac:dyDescent="0.25">
      <c r="A97" s="7" t="s">
        <v>18</v>
      </c>
      <c r="B97" s="6">
        <v>819.62029999999993</v>
      </c>
      <c r="C97" s="6">
        <v>6.4705882352941183E-2</v>
      </c>
    </row>
    <row r="98" spans="1:3" x14ac:dyDescent="0.25">
      <c r="A98" s="5" t="s">
        <v>29</v>
      </c>
      <c r="B98" s="6">
        <v>4181.7008999999998</v>
      </c>
      <c r="C98" s="6">
        <v>9.3382352941176444E-2</v>
      </c>
    </row>
    <row r="99" spans="1:3" x14ac:dyDescent="0.25">
      <c r="A99" s="7" t="s">
        <v>16</v>
      </c>
      <c r="B99" s="6">
        <v>1477.2434000000001</v>
      </c>
      <c r="C99" s="6">
        <v>9.1052631578947371E-2</v>
      </c>
    </row>
    <row r="100" spans="1:3" x14ac:dyDescent="0.25">
      <c r="A100" s="7" t="s">
        <v>15</v>
      </c>
      <c r="B100" s="6">
        <v>1016.5581999999999</v>
      </c>
      <c r="C100" s="6">
        <v>0.10687499999999998</v>
      </c>
    </row>
    <row r="101" spans="1:3" x14ac:dyDescent="0.25">
      <c r="A101" s="7" t="s">
        <v>17</v>
      </c>
      <c r="B101" s="6">
        <v>750.86509999999998</v>
      </c>
      <c r="C101" s="6">
        <v>0.10642857142857144</v>
      </c>
    </row>
    <row r="102" spans="1:3" x14ac:dyDescent="0.25">
      <c r="A102" s="7" t="s">
        <v>18</v>
      </c>
      <c r="B102" s="6">
        <v>937.03420000000006</v>
      </c>
      <c r="C102" s="6">
        <v>7.4736842105263171E-2</v>
      </c>
    </row>
    <row r="103" spans="1:3" x14ac:dyDescent="0.25">
      <c r="A103" s="5" t="s">
        <v>26</v>
      </c>
      <c r="B103" s="6">
        <v>5538.7282999999989</v>
      </c>
      <c r="C103" s="6">
        <v>0.10797468354430381</v>
      </c>
    </row>
    <row r="104" spans="1:3" x14ac:dyDescent="0.25">
      <c r="A104" s="7" t="s">
        <v>16</v>
      </c>
      <c r="B104" s="6">
        <v>1697.5083000000002</v>
      </c>
      <c r="C104" s="6">
        <v>0.10619047619047621</v>
      </c>
    </row>
    <row r="105" spans="1:3" x14ac:dyDescent="0.25">
      <c r="A105" s="7" t="s">
        <v>15</v>
      </c>
      <c r="B105" s="6">
        <v>1295.5934</v>
      </c>
      <c r="C105" s="6">
        <v>0.11105263157894736</v>
      </c>
    </row>
    <row r="106" spans="1:3" x14ac:dyDescent="0.25">
      <c r="A106" s="7" t="s">
        <v>17</v>
      </c>
      <c r="B106" s="6">
        <v>975.26060000000007</v>
      </c>
      <c r="C106" s="6">
        <v>0.10500000000000001</v>
      </c>
    </row>
    <row r="107" spans="1:3" x14ac:dyDescent="0.25">
      <c r="A107" s="7" t="s">
        <v>18</v>
      </c>
      <c r="B107" s="6">
        <v>1570.366</v>
      </c>
      <c r="C107" s="6">
        <v>0.10952380952380954</v>
      </c>
    </row>
    <row r="108" spans="1:3" x14ac:dyDescent="0.25">
      <c r="A108" s="5" t="s">
        <v>44</v>
      </c>
      <c r="B108" s="6">
        <v>24761.130499999992</v>
      </c>
      <c r="C108" s="6">
        <v>9.8724999999999938E-2</v>
      </c>
    </row>
    <row r="111" spans="1:3" x14ac:dyDescent="0.25">
      <c r="A111" s="4" t="s">
        <v>43</v>
      </c>
      <c r="B111" t="s">
        <v>60</v>
      </c>
    </row>
    <row r="112" spans="1:3" x14ac:dyDescent="0.25">
      <c r="A112" s="5" t="s">
        <v>16</v>
      </c>
      <c r="B112" s="6">
        <v>3.1204819277108435</v>
      </c>
    </row>
    <row r="113" spans="1:2" x14ac:dyDescent="0.25">
      <c r="A113" s="5" t="s">
        <v>15</v>
      </c>
      <c r="B113" s="6">
        <v>3.4862385321100917</v>
      </c>
    </row>
    <row r="114" spans="1:2" x14ac:dyDescent="0.25">
      <c r="A114" s="5" t="s">
        <v>17</v>
      </c>
      <c r="B114" s="6">
        <v>3.495049504950495</v>
      </c>
    </row>
    <row r="115" spans="1:2" x14ac:dyDescent="0.25">
      <c r="A115" s="5" t="s">
        <v>18</v>
      </c>
      <c r="B115" s="6">
        <v>3.514018691588785</v>
      </c>
    </row>
    <row r="116" spans="1:2" x14ac:dyDescent="0.25">
      <c r="A116" s="5" t="s">
        <v>44</v>
      </c>
      <c r="B116" s="6">
        <v>3.42</v>
      </c>
    </row>
    <row r="119" spans="1:2" x14ac:dyDescent="0.25">
      <c r="A119" s="4" t="s">
        <v>43</v>
      </c>
      <c r="B119" t="s">
        <v>61</v>
      </c>
    </row>
    <row r="120" spans="1:2" x14ac:dyDescent="0.25">
      <c r="A120" s="5" t="s">
        <v>29</v>
      </c>
      <c r="B120" s="6">
        <v>3.8514705882352938</v>
      </c>
    </row>
    <row r="121" spans="1:2" x14ac:dyDescent="0.25">
      <c r="A121" s="7" t="s">
        <v>16</v>
      </c>
      <c r="B121" s="6">
        <v>3.7947368421052636</v>
      </c>
    </row>
    <row r="122" spans="1:2" x14ac:dyDescent="0.25">
      <c r="A122" s="7" t="s">
        <v>15</v>
      </c>
      <c r="B122" s="6">
        <v>3.9937499999999999</v>
      </c>
    </row>
    <row r="123" spans="1:2" x14ac:dyDescent="0.25">
      <c r="A123" s="7" t="s">
        <v>17</v>
      </c>
      <c r="B123" s="6">
        <v>3.9571428571428569</v>
      </c>
    </row>
    <row r="124" spans="1:2" x14ac:dyDescent="0.25">
      <c r="A124" s="7" t="s">
        <v>18</v>
      </c>
      <c r="B124" s="6">
        <v>3.7105263157894739</v>
      </c>
    </row>
    <row r="125" spans="1:2" x14ac:dyDescent="0.25">
      <c r="A125" s="5" t="s">
        <v>30</v>
      </c>
      <c r="B125" s="6">
        <v>3.7440677966101696</v>
      </c>
    </row>
    <row r="126" spans="1:2" x14ac:dyDescent="0.25">
      <c r="A126" s="7" t="s">
        <v>16</v>
      </c>
      <c r="B126" s="6">
        <v>3.6461538461538465</v>
      </c>
    </row>
    <row r="127" spans="1:2" x14ac:dyDescent="0.25">
      <c r="A127" s="7" t="s">
        <v>15</v>
      </c>
      <c r="B127" s="6">
        <v>3.8631578947368417</v>
      </c>
    </row>
    <row r="128" spans="1:2" x14ac:dyDescent="0.25">
      <c r="A128" s="7" t="s">
        <v>17</v>
      </c>
      <c r="B128" s="6">
        <v>3.5636363636363639</v>
      </c>
    </row>
    <row r="129" spans="1:2" x14ac:dyDescent="0.25">
      <c r="A129" s="7" t="s">
        <v>18</v>
      </c>
      <c r="B129" s="6">
        <v>3.8062499999999999</v>
      </c>
    </row>
    <row r="130" spans="1:2" x14ac:dyDescent="0.25">
      <c r="A130" s="5" t="s">
        <v>27</v>
      </c>
      <c r="B130" s="6">
        <v>3.9161290322580644</v>
      </c>
    </row>
    <row r="131" spans="1:2" x14ac:dyDescent="0.25">
      <c r="A131" s="7" t="s">
        <v>16</v>
      </c>
      <c r="B131" s="6">
        <v>3.5799999999999996</v>
      </c>
    </row>
    <row r="132" spans="1:2" x14ac:dyDescent="0.25">
      <c r="A132" s="7" t="s">
        <v>15</v>
      </c>
      <c r="B132" s="6">
        <v>4.0714285714285712</v>
      </c>
    </row>
    <row r="133" spans="1:2" x14ac:dyDescent="0.25">
      <c r="A133" s="7" t="s">
        <v>17</v>
      </c>
      <c r="B133" s="6">
        <v>3.8187500000000001</v>
      </c>
    </row>
    <row r="134" spans="1:2" x14ac:dyDescent="0.25">
      <c r="A134" s="7" t="s">
        <v>18</v>
      </c>
      <c r="B134" s="6">
        <v>4.0266666666666673</v>
      </c>
    </row>
    <row r="135" spans="1:2" x14ac:dyDescent="0.25">
      <c r="A135" s="5" t="s">
        <v>25</v>
      </c>
      <c r="B135" s="6">
        <v>3.9064516129032261</v>
      </c>
    </row>
    <row r="136" spans="1:2" x14ac:dyDescent="0.25">
      <c r="A136" s="7" t="s">
        <v>16</v>
      </c>
      <c r="B136" s="6">
        <v>4.2142857142857144</v>
      </c>
    </row>
    <row r="137" spans="1:2" x14ac:dyDescent="0.25">
      <c r="A137" s="7" t="s">
        <v>15</v>
      </c>
      <c r="B137" s="6">
        <v>3.8437500000000004</v>
      </c>
    </row>
    <row r="138" spans="1:2" x14ac:dyDescent="0.25">
      <c r="A138" s="7" t="s">
        <v>17</v>
      </c>
      <c r="B138" s="6">
        <v>3.8454545454545452</v>
      </c>
    </row>
    <row r="139" spans="1:2" x14ac:dyDescent="0.25">
      <c r="A139" s="7" t="s">
        <v>18</v>
      </c>
      <c r="B139" s="6">
        <v>3.9176470588235293</v>
      </c>
    </row>
    <row r="140" spans="1:2" x14ac:dyDescent="0.25">
      <c r="A140" s="5" t="s">
        <v>28</v>
      </c>
      <c r="B140" s="6">
        <v>3.7785714285714294</v>
      </c>
    </row>
    <row r="141" spans="1:2" x14ac:dyDescent="0.25">
      <c r="A141" s="7" t="s">
        <v>16</v>
      </c>
      <c r="B141" s="6">
        <v>3.7000000000000006</v>
      </c>
    </row>
    <row r="142" spans="1:2" x14ac:dyDescent="0.25">
      <c r="A142" s="7" t="s">
        <v>15</v>
      </c>
      <c r="B142" s="6">
        <v>3.7222222222222223</v>
      </c>
    </row>
    <row r="143" spans="1:2" x14ac:dyDescent="0.25">
      <c r="A143" s="7" t="s">
        <v>17</v>
      </c>
      <c r="B143" s="6">
        <v>3.7650000000000006</v>
      </c>
    </row>
    <row r="144" spans="1:2" x14ac:dyDescent="0.25">
      <c r="A144" s="7" t="s">
        <v>18</v>
      </c>
      <c r="B144" s="6">
        <v>3.9</v>
      </c>
    </row>
    <row r="145" spans="1:3" x14ac:dyDescent="0.25">
      <c r="A145" s="5" t="s">
        <v>26</v>
      </c>
      <c r="B145" s="6">
        <v>3.6506329113924041</v>
      </c>
    </row>
    <row r="146" spans="1:3" x14ac:dyDescent="0.25">
      <c r="A146" s="7" t="s">
        <v>16</v>
      </c>
      <c r="B146" s="6">
        <v>3.9000000000000004</v>
      </c>
    </row>
    <row r="147" spans="1:3" x14ac:dyDescent="0.25">
      <c r="A147" s="7" t="s">
        <v>15</v>
      </c>
      <c r="B147" s="6">
        <v>3.736842105263158</v>
      </c>
    </row>
    <row r="148" spans="1:3" x14ac:dyDescent="0.25">
      <c r="A148" s="7" t="s">
        <v>17</v>
      </c>
      <c r="B148" s="6">
        <v>3.5555555555555554</v>
      </c>
    </row>
    <row r="149" spans="1:3" x14ac:dyDescent="0.25">
      <c r="A149" s="7" t="s">
        <v>18</v>
      </c>
      <c r="B149" s="6">
        <v>3.4047619047619047</v>
      </c>
    </row>
    <row r="150" spans="1:3" x14ac:dyDescent="0.25">
      <c r="A150" s="5" t="s">
        <v>44</v>
      </c>
      <c r="B150" s="6">
        <v>3.8017500000000002</v>
      </c>
    </row>
    <row r="152" spans="1:3" x14ac:dyDescent="0.25">
      <c r="A152" s="4" t="s">
        <v>43</v>
      </c>
      <c r="B152" t="s">
        <v>45</v>
      </c>
      <c r="C152" t="s">
        <v>59</v>
      </c>
    </row>
    <row r="153" spans="1:3" x14ac:dyDescent="0.25">
      <c r="A153" s="5" t="s">
        <v>36</v>
      </c>
      <c r="B153" s="6">
        <v>6404.5296999999991</v>
      </c>
      <c r="C153" s="6">
        <v>8.9555555555555499E-2</v>
      </c>
    </row>
    <row r="154" spans="1:3" x14ac:dyDescent="0.25">
      <c r="A154" s="5" t="s">
        <v>37</v>
      </c>
      <c r="B154" s="6">
        <v>6852.5427</v>
      </c>
      <c r="C154" s="6">
        <v>0.10157894736842105</v>
      </c>
    </row>
    <row r="155" spans="1:3" x14ac:dyDescent="0.25">
      <c r="A155" s="5" t="s">
        <v>34</v>
      </c>
      <c r="B155" s="6">
        <v>6156.809400000001</v>
      </c>
      <c r="C155" s="6">
        <v>0.10931372549019613</v>
      </c>
    </row>
    <row r="156" spans="1:3" x14ac:dyDescent="0.25">
      <c r="A156" s="5" t="s">
        <v>35</v>
      </c>
      <c r="B156" s="6">
        <v>5347.2486999999974</v>
      </c>
      <c r="C156" s="6">
        <v>9.2553191489361669E-2</v>
      </c>
    </row>
    <row r="157" spans="1:3" x14ac:dyDescent="0.25">
      <c r="A157" s="5" t="s">
        <v>44</v>
      </c>
      <c r="B157" s="6">
        <v>24761.130499999981</v>
      </c>
      <c r="C157" s="6">
        <v>9.8724999999999993E-2</v>
      </c>
    </row>
    <row r="160" spans="1:3" x14ac:dyDescent="0.25">
      <c r="A160" s="4" t="s">
        <v>43</v>
      </c>
      <c r="B160" t="s">
        <v>45</v>
      </c>
    </row>
    <row r="161" spans="1:2" x14ac:dyDescent="0.25">
      <c r="A161" s="5" t="s">
        <v>36</v>
      </c>
      <c r="B161" s="6">
        <v>6404.5297</v>
      </c>
    </row>
    <row r="162" spans="1:2" x14ac:dyDescent="0.25">
      <c r="A162" s="7" t="s">
        <v>29</v>
      </c>
      <c r="B162" s="6">
        <v>1070.6335000000001</v>
      </c>
    </row>
    <row r="163" spans="1:2" x14ac:dyDescent="0.25">
      <c r="A163" s="8" t="s">
        <v>24</v>
      </c>
      <c r="B163" s="6">
        <v>168.18369999999999</v>
      </c>
    </row>
    <row r="164" spans="1:2" x14ac:dyDescent="0.25">
      <c r="A164" s="8" t="s">
        <v>22</v>
      </c>
      <c r="B164" s="6">
        <v>251.48240000000004</v>
      </c>
    </row>
    <row r="165" spans="1:2" x14ac:dyDescent="0.25">
      <c r="A165" s="8" t="s">
        <v>21</v>
      </c>
      <c r="B165" s="6">
        <v>77.403700000000001</v>
      </c>
    </row>
    <row r="166" spans="1:2" x14ac:dyDescent="0.25">
      <c r="A166" s="8" t="s">
        <v>20</v>
      </c>
      <c r="B166" s="6">
        <v>285.59389999999996</v>
      </c>
    </row>
    <row r="167" spans="1:2" x14ac:dyDescent="0.25">
      <c r="A167" s="8" t="s">
        <v>19</v>
      </c>
      <c r="B167" s="6">
        <v>118.73899999999999</v>
      </c>
    </row>
    <row r="168" spans="1:2" x14ac:dyDescent="0.25">
      <c r="A168" s="8" t="s">
        <v>23</v>
      </c>
      <c r="B168" s="6">
        <v>169.23079999999999</v>
      </c>
    </row>
    <row r="169" spans="1:2" x14ac:dyDescent="0.25">
      <c r="A169" s="7" t="s">
        <v>30</v>
      </c>
      <c r="B169" s="6">
        <v>680.42000000000007</v>
      </c>
    </row>
    <row r="170" spans="1:2" x14ac:dyDescent="0.25">
      <c r="A170" s="8" t="s">
        <v>24</v>
      </c>
      <c r="B170" s="6">
        <v>105.82080000000001</v>
      </c>
    </row>
    <row r="171" spans="1:2" x14ac:dyDescent="0.25">
      <c r="A171" s="8" t="s">
        <v>22</v>
      </c>
      <c r="B171" s="6">
        <v>360.79200000000003</v>
      </c>
    </row>
    <row r="172" spans="1:2" x14ac:dyDescent="0.25">
      <c r="A172" s="8" t="s">
        <v>21</v>
      </c>
      <c r="B172" s="6">
        <v>10.3584</v>
      </c>
    </row>
    <row r="173" spans="1:2" x14ac:dyDescent="0.25">
      <c r="A173" s="8" t="s">
        <v>20</v>
      </c>
      <c r="B173" s="6">
        <v>34.159599999999998</v>
      </c>
    </row>
    <row r="174" spans="1:2" x14ac:dyDescent="0.25">
      <c r="A174" s="8" t="s">
        <v>19</v>
      </c>
      <c r="B174" s="6">
        <v>158.67520000000002</v>
      </c>
    </row>
    <row r="175" spans="1:2" x14ac:dyDescent="0.25">
      <c r="A175" s="8" t="s">
        <v>23</v>
      </c>
      <c r="B175" s="6">
        <v>10.614000000000001</v>
      </c>
    </row>
    <row r="176" spans="1:2" x14ac:dyDescent="0.25">
      <c r="A176" s="7" t="s">
        <v>27</v>
      </c>
      <c r="B176" s="6">
        <v>1113.4002</v>
      </c>
    </row>
    <row r="177" spans="1:2" x14ac:dyDescent="0.25">
      <c r="A177" s="8" t="s">
        <v>24</v>
      </c>
      <c r="B177" s="6">
        <v>114.10599999999999</v>
      </c>
    </row>
    <row r="178" spans="1:2" x14ac:dyDescent="0.25">
      <c r="A178" s="8" t="s">
        <v>22</v>
      </c>
      <c r="B178" s="6">
        <v>146.93129999999999</v>
      </c>
    </row>
    <row r="179" spans="1:2" x14ac:dyDescent="0.25">
      <c r="A179" s="8" t="s">
        <v>21</v>
      </c>
      <c r="B179" s="6">
        <v>146.94369999999998</v>
      </c>
    </row>
    <row r="180" spans="1:2" x14ac:dyDescent="0.25">
      <c r="A180" s="8" t="s">
        <v>20</v>
      </c>
      <c r="B180" s="6">
        <v>416.78780000000006</v>
      </c>
    </row>
    <row r="181" spans="1:2" x14ac:dyDescent="0.25">
      <c r="A181" s="8" t="s">
        <v>19</v>
      </c>
      <c r="B181" s="6">
        <v>33.465000000000003</v>
      </c>
    </row>
    <row r="182" spans="1:2" x14ac:dyDescent="0.25">
      <c r="A182" s="8" t="s">
        <v>23</v>
      </c>
      <c r="B182" s="6">
        <v>255.16640000000001</v>
      </c>
    </row>
    <row r="183" spans="1:2" x14ac:dyDescent="0.25">
      <c r="A183" s="7" t="s">
        <v>25</v>
      </c>
      <c r="B183" s="6">
        <v>854.99840000000006</v>
      </c>
    </row>
    <row r="184" spans="1:2" x14ac:dyDescent="0.25">
      <c r="A184" s="8" t="s">
        <v>22</v>
      </c>
      <c r="B184" s="6">
        <v>162.32319999999999</v>
      </c>
    </row>
    <row r="185" spans="1:2" x14ac:dyDescent="0.25">
      <c r="A185" s="8" t="s">
        <v>21</v>
      </c>
      <c r="B185" s="6">
        <v>277.63320000000004</v>
      </c>
    </row>
    <row r="186" spans="1:2" x14ac:dyDescent="0.25">
      <c r="A186" s="8" t="s">
        <v>20</v>
      </c>
      <c r="B186" s="6">
        <v>183.45420000000001</v>
      </c>
    </row>
    <row r="187" spans="1:2" x14ac:dyDescent="0.25">
      <c r="A187" s="8" t="s">
        <v>19</v>
      </c>
      <c r="B187" s="6">
        <v>174.76179999999999</v>
      </c>
    </row>
    <row r="188" spans="1:2" x14ac:dyDescent="0.25">
      <c r="A188" s="8" t="s">
        <v>23</v>
      </c>
      <c r="B188" s="6">
        <v>56.825999999999993</v>
      </c>
    </row>
    <row r="189" spans="1:2" x14ac:dyDescent="0.25">
      <c r="A189" s="7" t="s">
        <v>28</v>
      </c>
      <c r="B189" s="6">
        <v>1639.3008000000002</v>
      </c>
    </row>
    <row r="190" spans="1:2" x14ac:dyDescent="0.25">
      <c r="A190" s="8" t="s">
        <v>24</v>
      </c>
      <c r="B190" s="6">
        <v>344.92740000000003</v>
      </c>
    </row>
    <row r="191" spans="1:2" x14ac:dyDescent="0.25">
      <c r="A191" s="8" t="s">
        <v>22</v>
      </c>
      <c r="B191" s="6">
        <v>242.755</v>
      </c>
    </row>
    <row r="192" spans="1:2" x14ac:dyDescent="0.25">
      <c r="A192" s="8" t="s">
        <v>21</v>
      </c>
      <c r="B192" s="6">
        <v>680.88310000000001</v>
      </c>
    </row>
    <row r="193" spans="1:2" x14ac:dyDescent="0.25">
      <c r="A193" s="8" t="s">
        <v>20</v>
      </c>
      <c r="B193" s="6">
        <v>171.2004</v>
      </c>
    </row>
    <row r="194" spans="1:2" x14ac:dyDescent="0.25">
      <c r="A194" s="8" t="s">
        <v>19</v>
      </c>
      <c r="B194" s="6">
        <v>40.432000000000002</v>
      </c>
    </row>
    <row r="195" spans="1:2" x14ac:dyDescent="0.25">
      <c r="A195" s="8" t="s">
        <v>23</v>
      </c>
      <c r="B195" s="6">
        <v>159.10290000000001</v>
      </c>
    </row>
    <row r="196" spans="1:2" x14ac:dyDescent="0.25">
      <c r="A196" s="7" t="s">
        <v>26</v>
      </c>
      <c r="B196" s="6">
        <v>1045.7768000000001</v>
      </c>
    </row>
    <row r="197" spans="1:2" x14ac:dyDescent="0.25">
      <c r="A197" s="8" t="s">
        <v>24</v>
      </c>
      <c r="B197" s="6">
        <v>130.77880000000002</v>
      </c>
    </row>
    <row r="198" spans="1:2" x14ac:dyDescent="0.25">
      <c r="A198" s="8" t="s">
        <v>22</v>
      </c>
      <c r="B198" s="6">
        <v>234.31799999999998</v>
      </c>
    </row>
    <row r="199" spans="1:2" x14ac:dyDescent="0.25">
      <c r="A199" s="8" t="s">
        <v>21</v>
      </c>
      <c r="B199" s="6">
        <v>127.94280000000002</v>
      </c>
    </row>
    <row r="200" spans="1:2" x14ac:dyDescent="0.25">
      <c r="A200" s="8" t="s">
        <v>20</v>
      </c>
      <c r="B200" s="6">
        <v>35.034999999999997</v>
      </c>
    </row>
    <row r="201" spans="1:2" x14ac:dyDescent="0.25">
      <c r="A201" s="8" t="s">
        <v>19</v>
      </c>
      <c r="B201" s="6">
        <v>238.14940000000001</v>
      </c>
    </row>
    <row r="202" spans="1:2" x14ac:dyDescent="0.25">
      <c r="A202" s="8" t="s">
        <v>23</v>
      </c>
      <c r="B202" s="6">
        <v>279.55279999999999</v>
      </c>
    </row>
    <row r="203" spans="1:2" x14ac:dyDescent="0.25">
      <c r="A203" s="5" t="s">
        <v>37</v>
      </c>
      <c r="B203" s="6">
        <v>6852.5426999999991</v>
      </c>
    </row>
    <row r="204" spans="1:2" x14ac:dyDescent="0.25">
      <c r="A204" s="7" t="s">
        <v>29</v>
      </c>
      <c r="B204" s="6">
        <v>547.66470000000004</v>
      </c>
    </row>
    <row r="205" spans="1:2" x14ac:dyDescent="0.25">
      <c r="A205" s="8" t="s">
        <v>24</v>
      </c>
      <c r="B205" s="6">
        <v>52.164000000000009</v>
      </c>
    </row>
    <row r="206" spans="1:2" x14ac:dyDescent="0.25">
      <c r="A206" s="8" t="s">
        <v>22</v>
      </c>
      <c r="B206" s="6">
        <v>57.696899999999992</v>
      </c>
    </row>
    <row r="207" spans="1:2" x14ac:dyDescent="0.25">
      <c r="A207" s="8" t="s">
        <v>21</v>
      </c>
      <c r="B207" s="6">
        <v>128.17329999999998</v>
      </c>
    </row>
    <row r="208" spans="1:2" x14ac:dyDescent="0.25">
      <c r="A208" s="8" t="s">
        <v>20</v>
      </c>
      <c r="B208" s="6">
        <v>149.89400000000001</v>
      </c>
    </row>
    <row r="209" spans="1:2" x14ac:dyDescent="0.25">
      <c r="A209" s="8" t="s">
        <v>19</v>
      </c>
      <c r="B209" s="6">
        <v>95.52300000000001</v>
      </c>
    </row>
    <row r="210" spans="1:2" x14ac:dyDescent="0.25">
      <c r="A210" s="8" t="s">
        <v>23</v>
      </c>
      <c r="B210" s="6">
        <v>64.213499999999996</v>
      </c>
    </row>
    <row r="211" spans="1:2" x14ac:dyDescent="0.25">
      <c r="A211" s="7" t="s">
        <v>30</v>
      </c>
      <c r="B211" s="6">
        <v>1183.4246000000001</v>
      </c>
    </row>
    <row r="212" spans="1:2" x14ac:dyDescent="0.25">
      <c r="A212" s="8" t="s">
        <v>24</v>
      </c>
      <c r="B212" s="6">
        <v>170.64759999999998</v>
      </c>
    </row>
    <row r="213" spans="1:2" x14ac:dyDescent="0.25">
      <c r="A213" s="8" t="s">
        <v>21</v>
      </c>
      <c r="B213" s="6">
        <v>290.09280000000001</v>
      </c>
    </row>
    <row r="214" spans="1:2" x14ac:dyDescent="0.25">
      <c r="A214" s="8" t="s">
        <v>20</v>
      </c>
      <c r="B214" s="6">
        <v>311.88150000000002</v>
      </c>
    </row>
    <row r="215" spans="1:2" x14ac:dyDescent="0.25">
      <c r="A215" s="8" t="s">
        <v>19</v>
      </c>
      <c r="B215" s="6">
        <v>391.02670000000001</v>
      </c>
    </row>
    <row r="216" spans="1:2" x14ac:dyDescent="0.25">
      <c r="A216" s="8" t="s">
        <v>23</v>
      </c>
      <c r="B216" s="6">
        <v>19.776</v>
      </c>
    </row>
    <row r="217" spans="1:2" x14ac:dyDescent="0.25">
      <c r="A217" s="7" t="s">
        <v>27</v>
      </c>
      <c r="B217" s="6">
        <v>1544.4944</v>
      </c>
    </row>
    <row r="218" spans="1:2" x14ac:dyDescent="0.25">
      <c r="A218" s="8" t="s">
        <v>24</v>
      </c>
      <c r="B218" s="6">
        <v>247.02200000000002</v>
      </c>
    </row>
    <row r="219" spans="1:2" x14ac:dyDescent="0.25">
      <c r="A219" s="8" t="s">
        <v>22</v>
      </c>
      <c r="B219" s="6">
        <v>139.24259999999998</v>
      </c>
    </row>
    <row r="220" spans="1:2" x14ac:dyDescent="0.25">
      <c r="A220" s="8" t="s">
        <v>21</v>
      </c>
      <c r="B220" s="6">
        <v>416.1712</v>
      </c>
    </row>
    <row r="221" spans="1:2" x14ac:dyDescent="0.25">
      <c r="A221" s="8" t="s">
        <v>20</v>
      </c>
      <c r="B221" s="6">
        <v>365.53719999999998</v>
      </c>
    </row>
    <row r="222" spans="1:2" x14ac:dyDescent="0.25">
      <c r="A222" s="8" t="s">
        <v>19</v>
      </c>
      <c r="B222" s="6">
        <v>376.52139999999997</v>
      </c>
    </row>
    <row r="223" spans="1:2" x14ac:dyDescent="0.25">
      <c r="A223" s="7" t="s">
        <v>25</v>
      </c>
      <c r="B223" s="6">
        <v>1151.4605000000001</v>
      </c>
    </row>
    <row r="224" spans="1:2" x14ac:dyDescent="0.25">
      <c r="A224" s="8" t="s">
        <v>24</v>
      </c>
      <c r="B224" s="6">
        <v>205.9195</v>
      </c>
    </row>
    <row r="225" spans="1:2" x14ac:dyDescent="0.25">
      <c r="A225" s="8" t="s">
        <v>22</v>
      </c>
      <c r="B225" s="6">
        <v>42.322500000000012</v>
      </c>
    </row>
    <row r="226" spans="1:2" x14ac:dyDescent="0.25">
      <c r="A226" s="8" t="s">
        <v>21</v>
      </c>
      <c r="B226" s="6">
        <v>115.08330000000001</v>
      </c>
    </row>
    <row r="227" spans="1:2" x14ac:dyDescent="0.25">
      <c r="A227" s="8" t="s">
        <v>20</v>
      </c>
      <c r="B227" s="6">
        <v>380.61</v>
      </c>
    </row>
    <row r="228" spans="1:2" x14ac:dyDescent="0.25">
      <c r="A228" s="8" t="s">
        <v>19</v>
      </c>
      <c r="B228" s="6">
        <v>209.01769999999999</v>
      </c>
    </row>
    <row r="229" spans="1:2" x14ac:dyDescent="0.25">
      <c r="A229" s="8" t="s">
        <v>23</v>
      </c>
      <c r="B229" s="6">
        <v>198.50749999999999</v>
      </c>
    </row>
    <row r="230" spans="1:2" x14ac:dyDescent="0.25">
      <c r="A230" s="7" t="s">
        <v>28</v>
      </c>
      <c r="B230" s="6">
        <v>789.15819999999985</v>
      </c>
    </row>
    <row r="231" spans="1:2" x14ac:dyDescent="0.25">
      <c r="A231" s="8" t="s">
        <v>24</v>
      </c>
      <c r="B231" s="6">
        <v>133.71010000000001</v>
      </c>
    </row>
    <row r="232" spans="1:2" x14ac:dyDescent="0.25">
      <c r="A232" s="8" t="s">
        <v>22</v>
      </c>
      <c r="B232" s="6">
        <v>159.69390000000001</v>
      </c>
    </row>
    <row r="233" spans="1:2" x14ac:dyDescent="0.25">
      <c r="A233" s="8" t="s">
        <v>21</v>
      </c>
      <c r="B233" s="6">
        <v>87.674400000000006</v>
      </c>
    </row>
    <row r="234" spans="1:2" x14ac:dyDescent="0.25">
      <c r="A234" s="8" t="s">
        <v>20</v>
      </c>
      <c r="B234" s="6">
        <v>129.05269999999999</v>
      </c>
    </row>
    <row r="235" spans="1:2" x14ac:dyDescent="0.25">
      <c r="A235" s="8" t="s">
        <v>19</v>
      </c>
      <c r="B235" s="6">
        <v>213.83029999999999</v>
      </c>
    </row>
    <row r="236" spans="1:2" x14ac:dyDescent="0.25">
      <c r="A236" s="8" t="s">
        <v>23</v>
      </c>
      <c r="B236" s="6">
        <v>65.196799999999996</v>
      </c>
    </row>
    <row r="237" spans="1:2" x14ac:dyDescent="0.25">
      <c r="A237" s="7" t="s">
        <v>26</v>
      </c>
      <c r="B237" s="6">
        <v>1636.3403000000001</v>
      </c>
    </row>
    <row r="238" spans="1:2" x14ac:dyDescent="0.25">
      <c r="A238" s="8" t="s">
        <v>24</v>
      </c>
      <c r="B238" s="6">
        <v>154.2132</v>
      </c>
    </row>
    <row r="239" spans="1:2" x14ac:dyDescent="0.25">
      <c r="A239" s="8" t="s">
        <v>21</v>
      </c>
      <c r="B239" s="6">
        <v>211.4847</v>
      </c>
    </row>
    <row r="240" spans="1:2" x14ac:dyDescent="0.25">
      <c r="A240" s="8" t="s">
        <v>20</v>
      </c>
      <c r="B240" s="6">
        <v>540.40560000000005</v>
      </c>
    </row>
    <row r="241" spans="1:2" x14ac:dyDescent="0.25">
      <c r="A241" s="8" t="s">
        <v>19</v>
      </c>
      <c r="B241" s="6">
        <v>243.04679999999999</v>
      </c>
    </row>
    <row r="242" spans="1:2" x14ac:dyDescent="0.25">
      <c r="A242" s="8" t="s">
        <v>23</v>
      </c>
      <c r="B242" s="6">
        <v>487.19</v>
      </c>
    </row>
    <row r="243" spans="1:2" x14ac:dyDescent="0.25">
      <c r="A243" s="5" t="s">
        <v>34</v>
      </c>
      <c r="B243" s="6">
        <v>6156.8093999999992</v>
      </c>
    </row>
    <row r="244" spans="1:2" x14ac:dyDescent="0.25">
      <c r="A244" s="7" t="s">
        <v>29</v>
      </c>
      <c r="B244" s="6">
        <v>1374.7058000000002</v>
      </c>
    </row>
    <row r="245" spans="1:2" x14ac:dyDescent="0.25">
      <c r="A245" s="8" t="s">
        <v>24</v>
      </c>
      <c r="B245" s="6">
        <v>43.61399999999999</v>
      </c>
    </row>
    <row r="246" spans="1:2" x14ac:dyDescent="0.25">
      <c r="A246" s="8" t="s">
        <v>22</v>
      </c>
      <c r="B246" s="6">
        <v>334.97879999999998</v>
      </c>
    </row>
    <row r="247" spans="1:2" x14ac:dyDescent="0.25">
      <c r="A247" s="8" t="s">
        <v>21</v>
      </c>
      <c r="B247" s="6">
        <v>729.26339999999993</v>
      </c>
    </row>
    <row r="248" spans="1:2" x14ac:dyDescent="0.25">
      <c r="A248" s="8" t="s">
        <v>20</v>
      </c>
      <c r="B248" s="6">
        <v>79.578400000000002</v>
      </c>
    </row>
    <row r="249" spans="1:2" x14ac:dyDescent="0.25">
      <c r="A249" s="8" t="s">
        <v>19</v>
      </c>
      <c r="B249" s="6">
        <v>2.48</v>
      </c>
    </row>
    <row r="250" spans="1:2" x14ac:dyDescent="0.25">
      <c r="A250" s="8" t="s">
        <v>23</v>
      </c>
      <c r="B250" s="6">
        <v>184.7912</v>
      </c>
    </row>
    <row r="251" spans="1:2" x14ac:dyDescent="0.25">
      <c r="A251" s="7" t="s">
        <v>30</v>
      </c>
      <c r="B251" s="6">
        <v>959.33310000000006</v>
      </c>
    </row>
    <row r="252" spans="1:2" x14ac:dyDescent="0.25">
      <c r="A252" s="8" t="s">
        <v>24</v>
      </c>
      <c r="B252" s="6">
        <v>26.91</v>
      </c>
    </row>
    <row r="253" spans="1:2" x14ac:dyDescent="0.25">
      <c r="A253" s="8" t="s">
        <v>22</v>
      </c>
      <c r="B253" s="6">
        <v>119.7693</v>
      </c>
    </row>
    <row r="254" spans="1:2" x14ac:dyDescent="0.25">
      <c r="A254" s="8" t="s">
        <v>21</v>
      </c>
      <c r="B254" s="6">
        <v>184.2355</v>
      </c>
    </row>
    <row r="255" spans="1:2" x14ac:dyDescent="0.25">
      <c r="A255" s="8" t="s">
        <v>20</v>
      </c>
      <c r="B255" s="6">
        <v>135.6797</v>
      </c>
    </row>
    <row r="256" spans="1:2" x14ac:dyDescent="0.25">
      <c r="A256" s="8" t="s">
        <v>23</v>
      </c>
      <c r="B256" s="6">
        <v>492.73860000000002</v>
      </c>
    </row>
    <row r="257" spans="1:2" x14ac:dyDescent="0.25">
      <c r="A257" s="7" t="s">
        <v>27</v>
      </c>
      <c r="B257" s="6">
        <v>358.50130000000001</v>
      </c>
    </row>
    <row r="258" spans="1:2" x14ac:dyDescent="0.25">
      <c r="A258" s="8" t="s">
        <v>24</v>
      </c>
      <c r="B258" s="6">
        <v>134.64490000000001</v>
      </c>
    </row>
    <row r="259" spans="1:2" x14ac:dyDescent="0.25">
      <c r="A259" s="8" t="s">
        <v>22</v>
      </c>
      <c r="B259" s="6">
        <v>7.1104000000000003</v>
      </c>
    </row>
    <row r="260" spans="1:2" x14ac:dyDescent="0.25">
      <c r="A260" s="8" t="s">
        <v>21</v>
      </c>
      <c r="B260" s="6">
        <v>148.87979999999999</v>
      </c>
    </row>
    <row r="261" spans="1:2" x14ac:dyDescent="0.25">
      <c r="A261" s="8" t="s">
        <v>19</v>
      </c>
      <c r="B261" s="6">
        <v>21.985199999999999</v>
      </c>
    </row>
    <row r="262" spans="1:2" x14ac:dyDescent="0.25">
      <c r="A262" s="8" t="s">
        <v>23</v>
      </c>
      <c r="B262" s="6">
        <v>45.881</v>
      </c>
    </row>
    <row r="263" spans="1:2" x14ac:dyDescent="0.25">
      <c r="A263" s="7" t="s">
        <v>25</v>
      </c>
      <c r="B263" s="6">
        <v>960.08300000000008</v>
      </c>
    </row>
    <row r="264" spans="1:2" x14ac:dyDescent="0.25">
      <c r="A264" s="8" t="s">
        <v>24</v>
      </c>
      <c r="B264" s="6">
        <v>240.11799999999999</v>
      </c>
    </row>
    <row r="265" spans="1:2" x14ac:dyDescent="0.25">
      <c r="A265" s="8" t="s">
        <v>22</v>
      </c>
      <c r="B265" s="6">
        <v>290.0736</v>
      </c>
    </row>
    <row r="266" spans="1:2" x14ac:dyDescent="0.25">
      <c r="A266" s="8" t="s">
        <v>21</v>
      </c>
      <c r="B266" s="6">
        <v>93.296000000000006</v>
      </c>
    </row>
    <row r="267" spans="1:2" x14ac:dyDescent="0.25">
      <c r="A267" s="8" t="s">
        <v>20</v>
      </c>
      <c r="B267" s="6">
        <v>160.28880000000001</v>
      </c>
    </row>
    <row r="268" spans="1:2" x14ac:dyDescent="0.25">
      <c r="A268" s="8" t="s">
        <v>19</v>
      </c>
      <c r="B268" s="6">
        <v>176.30659999999997</v>
      </c>
    </row>
    <row r="269" spans="1:2" x14ac:dyDescent="0.25">
      <c r="A269" s="7" t="s">
        <v>28</v>
      </c>
      <c r="B269" s="6">
        <v>1000.7798999999998</v>
      </c>
    </row>
    <row r="270" spans="1:2" x14ac:dyDescent="0.25">
      <c r="A270" s="8" t="s">
        <v>24</v>
      </c>
      <c r="B270" s="6">
        <v>318.59949999999992</v>
      </c>
    </row>
    <row r="271" spans="1:2" x14ac:dyDescent="0.25">
      <c r="A271" s="8" t="s">
        <v>22</v>
      </c>
      <c r="B271" s="6">
        <v>203.18039999999996</v>
      </c>
    </row>
    <row r="272" spans="1:2" x14ac:dyDescent="0.25">
      <c r="A272" s="8" t="s">
        <v>21</v>
      </c>
      <c r="B272" s="6">
        <v>180.12</v>
      </c>
    </row>
    <row r="273" spans="1:2" x14ac:dyDescent="0.25">
      <c r="A273" s="8" t="s">
        <v>20</v>
      </c>
      <c r="B273" s="6">
        <v>67.285799999999995</v>
      </c>
    </row>
    <row r="274" spans="1:2" x14ac:dyDescent="0.25">
      <c r="A274" s="8" t="s">
        <v>19</v>
      </c>
      <c r="B274" s="6">
        <v>5.6951999999999998</v>
      </c>
    </row>
    <row r="275" spans="1:2" x14ac:dyDescent="0.25">
      <c r="A275" s="8" t="s">
        <v>23</v>
      </c>
      <c r="B275" s="6">
        <v>225.89899999999994</v>
      </c>
    </row>
    <row r="276" spans="1:2" x14ac:dyDescent="0.25">
      <c r="A276" s="7" t="s">
        <v>26</v>
      </c>
      <c r="B276" s="6">
        <v>1503.4062999999999</v>
      </c>
    </row>
    <row r="277" spans="1:2" x14ac:dyDescent="0.25">
      <c r="A277" s="8" t="s">
        <v>22</v>
      </c>
      <c r="B277" s="6">
        <v>358.12819999999999</v>
      </c>
    </row>
    <row r="278" spans="1:2" x14ac:dyDescent="0.25">
      <c r="A278" s="8" t="s">
        <v>21</v>
      </c>
      <c r="B278" s="6">
        <v>306.1438</v>
      </c>
    </row>
    <row r="279" spans="1:2" x14ac:dyDescent="0.25">
      <c r="A279" s="8" t="s">
        <v>20</v>
      </c>
      <c r="B279" s="6">
        <v>379.35059999999999</v>
      </c>
    </row>
    <row r="280" spans="1:2" x14ac:dyDescent="0.25">
      <c r="A280" s="8" t="s">
        <v>19</v>
      </c>
      <c r="B280" s="6">
        <v>233.15959999999998</v>
      </c>
    </row>
    <row r="281" spans="1:2" x14ac:dyDescent="0.25">
      <c r="A281" s="8" t="s">
        <v>23</v>
      </c>
      <c r="B281" s="6">
        <v>226.6241</v>
      </c>
    </row>
    <row r="282" spans="1:2" x14ac:dyDescent="0.25">
      <c r="A282" s="5" t="s">
        <v>35</v>
      </c>
      <c r="B282" s="6">
        <v>5347.248700000001</v>
      </c>
    </row>
    <row r="283" spans="1:2" x14ac:dyDescent="0.25">
      <c r="A283" s="7" t="s">
        <v>29</v>
      </c>
      <c r="B283" s="6">
        <v>1188.6968999999999</v>
      </c>
    </row>
    <row r="284" spans="1:2" x14ac:dyDescent="0.25">
      <c r="A284" s="8" t="s">
        <v>24</v>
      </c>
      <c r="B284" s="6">
        <v>259.84640000000002</v>
      </c>
    </row>
    <row r="285" spans="1:2" x14ac:dyDescent="0.25">
      <c r="A285" s="8" t="s">
        <v>22</v>
      </c>
      <c r="B285" s="6">
        <v>209.01599999999999</v>
      </c>
    </row>
    <row r="286" spans="1:2" x14ac:dyDescent="0.25">
      <c r="A286" s="8" t="s">
        <v>21</v>
      </c>
      <c r="B286" s="6">
        <v>135.61239999999998</v>
      </c>
    </row>
    <row r="287" spans="1:2" x14ac:dyDescent="0.25">
      <c r="A287" s="8" t="s">
        <v>20</v>
      </c>
      <c r="B287" s="6">
        <v>63.178299999999993</v>
      </c>
    </row>
    <row r="288" spans="1:2" x14ac:dyDescent="0.25">
      <c r="A288" s="8" t="s">
        <v>19</v>
      </c>
      <c r="B288" s="6">
        <v>194.71259999999998</v>
      </c>
    </row>
    <row r="289" spans="1:2" x14ac:dyDescent="0.25">
      <c r="A289" s="8" t="s">
        <v>23</v>
      </c>
      <c r="B289" s="6">
        <v>326.33119999999997</v>
      </c>
    </row>
    <row r="290" spans="1:2" x14ac:dyDescent="0.25">
      <c r="A290" s="7" t="s">
        <v>30</v>
      </c>
      <c r="B290" s="6">
        <v>990.47940000000006</v>
      </c>
    </row>
    <row r="291" spans="1:2" x14ac:dyDescent="0.25">
      <c r="A291" s="8" t="s">
        <v>24</v>
      </c>
      <c r="B291" s="6">
        <v>375.05059999999997</v>
      </c>
    </row>
    <row r="292" spans="1:2" x14ac:dyDescent="0.25">
      <c r="A292" s="8" t="s">
        <v>22</v>
      </c>
      <c r="B292" s="6">
        <v>231.15040000000002</v>
      </c>
    </row>
    <row r="293" spans="1:2" x14ac:dyDescent="0.25">
      <c r="A293" s="8" t="s">
        <v>21</v>
      </c>
      <c r="B293" s="6">
        <v>108.06479999999999</v>
      </c>
    </row>
    <row r="294" spans="1:2" x14ac:dyDescent="0.25">
      <c r="A294" s="8" t="s">
        <v>20</v>
      </c>
      <c r="B294" s="6">
        <v>52.908799999999992</v>
      </c>
    </row>
    <row r="295" spans="1:2" x14ac:dyDescent="0.25">
      <c r="A295" s="8" t="s">
        <v>19</v>
      </c>
      <c r="B295" s="6">
        <v>9.8010000000000002</v>
      </c>
    </row>
    <row r="296" spans="1:2" x14ac:dyDescent="0.25">
      <c r="A296" s="8" t="s">
        <v>23</v>
      </c>
      <c r="B296" s="6">
        <v>213.50379999999998</v>
      </c>
    </row>
    <row r="297" spans="1:2" x14ac:dyDescent="0.25">
      <c r="A297" s="7" t="s">
        <v>27</v>
      </c>
      <c r="B297" s="6">
        <v>523.89589999999998</v>
      </c>
    </row>
    <row r="298" spans="1:2" x14ac:dyDescent="0.25">
      <c r="A298" s="8" t="s">
        <v>24</v>
      </c>
      <c r="B298" s="6">
        <v>64.3874</v>
      </c>
    </row>
    <row r="299" spans="1:2" x14ac:dyDescent="0.25">
      <c r="A299" s="8" t="s">
        <v>21</v>
      </c>
      <c r="B299" s="6">
        <v>95.774799999999985</v>
      </c>
    </row>
    <row r="300" spans="1:2" x14ac:dyDescent="0.25">
      <c r="A300" s="8" t="s">
        <v>20</v>
      </c>
      <c r="B300" s="6">
        <v>100.6825</v>
      </c>
    </row>
    <row r="301" spans="1:2" x14ac:dyDescent="0.25">
      <c r="A301" s="8" t="s">
        <v>19</v>
      </c>
      <c r="B301" s="6">
        <v>56.31</v>
      </c>
    </row>
    <row r="302" spans="1:2" x14ac:dyDescent="0.25">
      <c r="A302" s="8" t="s">
        <v>23</v>
      </c>
      <c r="B302" s="6">
        <v>206.74119999999999</v>
      </c>
    </row>
    <row r="303" spans="1:2" x14ac:dyDescent="0.25">
      <c r="A303" s="7" t="s">
        <v>25</v>
      </c>
      <c r="B303" s="6">
        <v>879.49919999999997</v>
      </c>
    </row>
    <row r="304" spans="1:2" x14ac:dyDescent="0.25">
      <c r="A304" s="8" t="s">
        <v>24</v>
      </c>
      <c r="B304" s="6">
        <v>351.4162</v>
      </c>
    </row>
    <row r="305" spans="1:2" x14ac:dyDescent="0.25">
      <c r="A305" s="8" t="s">
        <v>22</v>
      </c>
      <c r="B305" s="6">
        <v>215.87139999999999</v>
      </c>
    </row>
    <row r="306" spans="1:2" x14ac:dyDescent="0.25">
      <c r="A306" s="8" t="s">
        <v>21</v>
      </c>
      <c r="B306" s="6">
        <v>19.14</v>
      </c>
    </row>
    <row r="307" spans="1:2" x14ac:dyDescent="0.25">
      <c r="A307" s="8" t="s">
        <v>20</v>
      </c>
      <c r="B307" s="6">
        <v>187.2773</v>
      </c>
    </row>
    <row r="308" spans="1:2" x14ac:dyDescent="0.25">
      <c r="A308" s="8" t="s">
        <v>19</v>
      </c>
      <c r="B308" s="6">
        <v>24.916699999999999</v>
      </c>
    </row>
    <row r="309" spans="1:2" x14ac:dyDescent="0.25">
      <c r="A309" s="8" t="s">
        <v>23</v>
      </c>
      <c r="B309" s="6">
        <v>80.877600000000001</v>
      </c>
    </row>
    <row r="310" spans="1:2" x14ac:dyDescent="0.25">
      <c r="A310" s="7" t="s">
        <v>28</v>
      </c>
      <c r="B310" s="6">
        <v>411.47239999999999</v>
      </c>
    </row>
    <row r="311" spans="1:2" x14ac:dyDescent="0.25">
      <c r="A311" s="8" t="s">
        <v>24</v>
      </c>
      <c r="B311" s="6">
        <v>11.362200000000001</v>
      </c>
    </row>
    <row r="312" spans="1:2" x14ac:dyDescent="0.25">
      <c r="A312" s="8" t="s">
        <v>22</v>
      </c>
      <c r="B312" s="6">
        <v>85.150800000000004</v>
      </c>
    </row>
    <row r="313" spans="1:2" x14ac:dyDescent="0.25">
      <c r="A313" s="8" t="s">
        <v>21</v>
      </c>
      <c r="B313" s="6">
        <v>122.896</v>
      </c>
    </row>
    <row r="314" spans="1:2" x14ac:dyDescent="0.25">
      <c r="A314" s="8" t="s">
        <v>20</v>
      </c>
      <c r="B314" s="6">
        <v>70.787399999999991</v>
      </c>
    </row>
    <row r="315" spans="1:2" x14ac:dyDescent="0.25">
      <c r="A315" s="8" t="s">
        <v>19</v>
      </c>
      <c r="B315" s="6">
        <v>100.73699999999999</v>
      </c>
    </row>
    <row r="316" spans="1:2" x14ac:dyDescent="0.25">
      <c r="A316" s="8" t="s">
        <v>23</v>
      </c>
      <c r="B316" s="6">
        <v>20.539000000000001</v>
      </c>
    </row>
    <row r="317" spans="1:2" x14ac:dyDescent="0.25">
      <c r="A317" s="7" t="s">
        <v>26</v>
      </c>
      <c r="B317" s="6">
        <v>1353.2049</v>
      </c>
    </row>
    <row r="318" spans="1:2" x14ac:dyDescent="0.25">
      <c r="A318" s="8" t="s">
        <v>24</v>
      </c>
      <c r="B318" s="6">
        <v>454.77159999999998</v>
      </c>
    </row>
    <row r="319" spans="1:2" x14ac:dyDescent="0.25">
      <c r="A319" s="8" t="s">
        <v>22</v>
      </c>
      <c r="B319" s="6">
        <v>168.83700000000002</v>
      </c>
    </row>
    <row r="320" spans="1:2" x14ac:dyDescent="0.25">
      <c r="A320" s="8" t="s">
        <v>21</v>
      </c>
      <c r="B320" s="6">
        <v>245.3066</v>
      </c>
    </row>
    <row r="321" spans="1:2" x14ac:dyDescent="0.25">
      <c r="A321" s="8" t="s">
        <v>20</v>
      </c>
      <c r="B321" s="6">
        <v>158.48450000000003</v>
      </c>
    </row>
    <row r="322" spans="1:2" x14ac:dyDescent="0.25">
      <c r="A322" s="8" t="s">
        <v>19</v>
      </c>
      <c r="B322" s="6">
        <v>181.81119999999999</v>
      </c>
    </row>
    <row r="323" spans="1:2" x14ac:dyDescent="0.25">
      <c r="A323" s="8" t="s">
        <v>23</v>
      </c>
      <c r="B323" s="6">
        <v>143.994</v>
      </c>
    </row>
    <row r="324" spans="1:2" x14ac:dyDescent="0.25">
      <c r="A324" s="5" t="s">
        <v>44</v>
      </c>
      <c r="B324" s="6">
        <v>24761.130500000003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1"/>
  <sheetViews>
    <sheetView topLeftCell="A2" workbookViewId="0">
      <selection activeCell="I5" sqref="I5"/>
    </sheetView>
  </sheetViews>
  <sheetFormatPr defaultRowHeight="15" x14ac:dyDescent="0.25"/>
  <cols>
    <col min="1" max="1" width="11.140625" customWidth="1"/>
    <col min="2" max="2" width="18.28515625" style="3" bestFit="1" customWidth="1"/>
    <col min="3" max="3" width="18.28515625" style="3" customWidth="1"/>
    <col min="4" max="4" width="14.5703125" customWidth="1"/>
    <col min="5" max="5" width="9.85546875" bestFit="1" customWidth="1"/>
    <col min="6" max="6" width="11.42578125" bestFit="1" customWidth="1"/>
    <col min="7" max="7" width="10.85546875" bestFit="1" customWidth="1"/>
    <col min="8" max="8" width="11" customWidth="1"/>
    <col min="9" max="9" width="10.85546875" customWidth="1"/>
    <col min="10" max="10" width="12.42578125" customWidth="1"/>
    <col min="11" max="11" width="10.85546875" customWidth="1"/>
    <col min="12" max="12" width="12.140625" customWidth="1"/>
    <col min="13" max="13" width="10.42578125" bestFit="1" customWidth="1"/>
    <col min="14" max="14" width="23.85546875" bestFit="1" customWidth="1"/>
    <col min="15" max="15" width="18.28515625" customWidth="1"/>
    <col min="16" max="16" width="13.42578125" bestFit="1" customWidth="1"/>
  </cols>
  <sheetData>
    <row r="1" spans="1:17" x14ac:dyDescent="0.25">
      <c r="A1" s="1" t="s">
        <v>0</v>
      </c>
      <c r="B1" s="2" t="s">
        <v>1</v>
      </c>
      <c r="C1" s="2" t="s">
        <v>41</v>
      </c>
      <c r="D1" s="2" t="s">
        <v>42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>
        <v>1001</v>
      </c>
      <c r="B2" s="3">
        <v>44927</v>
      </c>
      <c r="C2" s="3" t="str">
        <f>TEXT(Fruits_Vendor[[#This Row],[Order_Date]],"mmmm")</f>
        <v>January</v>
      </c>
      <c r="D2" s="3" t="str">
        <f>TEXT(Fruits_Vendor[[#This Row],[Order_Date]],"yyyy")</f>
        <v>2023</v>
      </c>
      <c r="E2">
        <v>2102</v>
      </c>
      <c r="F2" t="s">
        <v>15</v>
      </c>
      <c r="G2" t="s">
        <v>19</v>
      </c>
      <c r="H2" t="s">
        <v>25</v>
      </c>
      <c r="I2" t="s">
        <v>31</v>
      </c>
      <c r="J2">
        <v>17</v>
      </c>
      <c r="K2">
        <v>4.63</v>
      </c>
      <c r="L2">
        <v>0.04</v>
      </c>
      <c r="M2" t="s">
        <v>34</v>
      </c>
      <c r="N2" t="s">
        <v>38</v>
      </c>
      <c r="O2">
        <v>5</v>
      </c>
      <c r="P2">
        <v>3.3</v>
      </c>
      <c r="Q2">
        <v>75.561599999999984</v>
      </c>
    </row>
    <row r="3" spans="1:17" x14ac:dyDescent="0.25">
      <c r="A3">
        <v>1002</v>
      </c>
      <c r="B3" s="3">
        <v>44928</v>
      </c>
      <c r="C3" s="3" t="str">
        <f>TEXT(Fruits_Vendor[[#This Row],[Order_Date]],"mmmm")</f>
        <v>January</v>
      </c>
      <c r="D3" s="3" t="str">
        <f>TEXT(Fruits_Vendor[[#This Row],[Order_Date]],"yyyy")</f>
        <v>2023</v>
      </c>
      <c r="E3">
        <v>2435</v>
      </c>
      <c r="F3" t="s">
        <v>16</v>
      </c>
      <c r="G3" t="s">
        <v>19</v>
      </c>
      <c r="H3" t="s">
        <v>26</v>
      </c>
      <c r="I3" t="s">
        <v>31</v>
      </c>
      <c r="J3">
        <v>10</v>
      </c>
      <c r="K3">
        <v>3.2</v>
      </c>
      <c r="L3">
        <v>0.2</v>
      </c>
      <c r="M3" t="s">
        <v>34</v>
      </c>
      <c r="N3" t="s">
        <v>39</v>
      </c>
      <c r="O3">
        <v>1</v>
      </c>
      <c r="P3">
        <v>3.7</v>
      </c>
      <c r="Q3">
        <v>25.6</v>
      </c>
    </row>
    <row r="4" spans="1:17" x14ac:dyDescent="0.25">
      <c r="A4">
        <v>1003</v>
      </c>
      <c r="B4" s="3">
        <v>44929</v>
      </c>
      <c r="C4" s="3" t="str">
        <f>TEXT(Fruits_Vendor[[#This Row],[Order_Date]],"mmmm")</f>
        <v>January</v>
      </c>
      <c r="D4" s="3" t="str">
        <f>TEXT(Fruits_Vendor[[#This Row],[Order_Date]],"yyyy")</f>
        <v>2023</v>
      </c>
      <c r="E4">
        <v>2860</v>
      </c>
      <c r="F4" t="s">
        <v>15</v>
      </c>
      <c r="G4" t="s">
        <v>20</v>
      </c>
      <c r="H4" t="s">
        <v>26</v>
      </c>
      <c r="I4" t="s">
        <v>32</v>
      </c>
      <c r="J4">
        <v>1</v>
      </c>
      <c r="K4">
        <v>4.7300000000000004</v>
      </c>
      <c r="L4">
        <v>0.15</v>
      </c>
      <c r="M4" t="s">
        <v>35</v>
      </c>
      <c r="N4" t="s">
        <v>40</v>
      </c>
      <c r="O4">
        <v>5</v>
      </c>
      <c r="P4">
        <v>2.8</v>
      </c>
      <c r="Q4">
        <v>4.0205000000000002</v>
      </c>
    </row>
    <row r="5" spans="1:17" x14ac:dyDescent="0.25">
      <c r="A5">
        <v>1004</v>
      </c>
      <c r="B5" s="3">
        <v>44930</v>
      </c>
      <c r="C5" s="3" t="str">
        <f>TEXT(Fruits_Vendor[[#This Row],[Order_Date]],"mmmm")</f>
        <v>January</v>
      </c>
      <c r="D5" s="3" t="str">
        <f>TEXT(Fruits_Vendor[[#This Row],[Order_Date]],"yyyy")</f>
        <v>2023</v>
      </c>
      <c r="E5">
        <v>2270</v>
      </c>
      <c r="F5" t="s">
        <v>15</v>
      </c>
      <c r="G5" t="s">
        <v>21</v>
      </c>
      <c r="H5" t="s">
        <v>27</v>
      </c>
      <c r="I5" t="s">
        <v>33</v>
      </c>
      <c r="J5">
        <v>22</v>
      </c>
      <c r="K5">
        <v>4.22</v>
      </c>
      <c r="L5">
        <v>0.11</v>
      </c>
      <c r="M5" t="s">
        <v>35</v>
      </c>
      <c r="N5" t="s">
        <v>39</v>
      </c>
      <c r="O5">
        <v>2</v>
      </c>
      <c r="P5">
        <v>4.9000000000000004</v>
      </c>
      <c r="Q5">
        <v>82.627599999999987</v>
      </c>
    </row>
    <row r="6" spans="1:17" x14ac:dyDescent="0.25">
      <c r="A6">
        <v>1005</v>
      </c>
      <c r="B6" s="3">
        <v>44931</v>
      </c>
      <c r="C6" s="3" t="str">
        <f>TEXT(Fruits_Vendor[[#This Row],[Order_Date]],"mmmm")</f>
        <v>January</v>
      </c>
      <c r="D6" s="3" t="str">
        <f>TEXT(Fruits_Vendor[[#This Row],[Order_Date]],"yyyy")</f>
        <v>2023</v>
      </c>
      <c r="E6">
        <v>2106</v>
      </c>
      <c r="F6" t="s">
        <v>17</v>
      </c>
      <c r="G6" t="s">
        <v>22</v>
      </c>
      <c r="H6" t="s">
        <v>26</v>
      </c>
      <c r="I6" t="s">
        <v>31</v>
      </c>
      <c r="J6">
        <v>26</v>
      </c>
      <c r="K6">
        <v>3.5</v>
      </c>
      <c r="L6">
        <v>0.04</v>
      </c>
      <c r="M6" t="s">
        <v>36</v>
      </c>
      <c r="N6" t="s">
        <v>39</v>
      </c>
      <c r="O6">
        <v>2</v>
      </c>
      <c r="P6">
        <v>4.3</v>
      </c>
      <c r="Q6">
        <v>87.36</v>
      </c>
    </row>
    <row r="7" spans="1:17" x14ac:dyDescent="0.25">
      <c r="A7">
        <v>1006</v>
      </c>
      <c r="B7" s="3">
        <v>44932</v>
      </c>
      <c r="C7" s="3" t="str">
        <f>TEXT(Fruits_Vendor[[#This Row],[Order_Date]],"mmmm")</f>
        <v>January</v>
      </c>
      <c r="D7" s="3" t="str">
        <f>TEXT(Fruits_Vendor[[#This Row],[Order_Date]],"yyyy")</f>
        <v>2023</v>
      </c>
      <c r="E7">
        <v>2071</v>
      </c>
      <c r="F7" t="s">
        <v>18</v>
      </c>
      <c r="G7" t="s">
        <v>19</v>
      </c>
      <c r="H7" t="s">
        <v>28</v>
      </c>
      <c r="I7" t="s">
        <v>33</v>
      </c>
      <c r="J7">
        <v>18</v>
      </c>
      <c r="K7">
        <v>3.1</v>
      </c>
      <c r="L7">
        <v>0.01</v>
      </c>
      <c r="M7" t="s">
        <v>35</v>
      </c>
      <c r="N7" t="s">
        <v>38</v>
      </c>
      <c r="O7">
        <v>4</v>
      </c>
      <c r="P7">
        <v>4.9000000000000004</v>
      </c>
      <c r="Q7">
        <v>55.241999999999997</v>
      </c>
    </row>
    <row r="8" spans="1:17" x14ac:dyDescent="0.25">
      <c r="A8">
        <v>1007</v>
      </c>
      <c r="B8" s="3">
        <v>44933</v>
      </c>
      <c r="C8" s="3" t="str">
        <f>TEXT(Fruits_Vendor[[#This Row],[Order_Date]],"mmmm")</f>
        <v>January</v>
      </c>
      <c r="D8" s="3" t="str">
        <f>TEXT(Fruits_Vendor[[#This Row],[Order_Date]],"yyyy")</f>
        <v>2023</v>
      </c>
      <c r="E8">
        <v>2700</v>
      </c>
      <c r="F8" t="s">
        <v>17</v>
      </c>
      <c r="G8" t="s">
        <v>21</v>
      </c>
      <c r="H8" t="s">
        <v>26</v>
      </c>
      <c r="I8" t="s">
        <v>32</v>
      </c>
      <c r="J8">
        <v>14</v>
      </c>
      <c r="K8">
        <v>2.0699999999999998</v>
      </c>
      <c r="L8">
        <v>0.06</v>
      </c>
      <c r="M8" t="s">
        <v>36</v>
      </c>
      <c r="N8" t="s">
        <v>38</v>
      </c>
      <c r="O8">
        <v>5</v>
      </c>
      <c r="P8">
        <v>3.1</v>
      </c>
      <c r="Q8">
        <v>27.241199999999999</v>
      </c>
    </row>
    <row r="9" spans="1:17" x14ac:dyDescent="0.25">
      <c r="A9">
        <v>1008</v>
      </c>
      <c r="B9" s="3">
        <v>44934</v>
      </c>
      <c r="C9" s="3" t="str">
        <f>TEXT(Fruits_Vendor[[#This Row],[Order_Date]],"mmmm")</f>
        <v>January</v>
      </c>
      <c r="D9" s="3" t="str">
        <f>TEXT(Fruits_Vendor[[#This Row],[Order_Date]],"yyyy")</f>
        <v>2023</v>
      </c>
      <c r="E9">
        <v>2020</v>
      </c>
      <c r="F9" t="s">
        <v>17</v>
      </c>
      <c r="G9" t="s">
        <v>19</v>
      </c>
      <c r="H9" t="s">
        <v>26</v>
      </c>
      <c r="I9" t="s">
        <v>32</v>
      </c>
      <c r="J9">
        <v>47</v>
      </c>
      <c r="K9">
        <v>1.22</v>
      </c>
      <c r="L9">
        <v>0.15</v>
      </c>
      <c r="M9" t="s">
        <v>34</v>
      </c>
      <c r="N9" t="s">
        <v>39</v>
      </c>
      <c r="O9">
        <v>4</v>
      </c>
      <c r="P9">
        <v>4.7</v>
      </c>
      <c r="Q9">
        <v>48.738999999999997</v>
      </c>
    </row>
    <row r="10" spans="1:17" x14ac:dyDescent="0.25">
      <c r="A10">
        <v>1009</v>
      </c>
      <c r="B10" s="3">
        <v>44935</v>
      </c>
      <c r="C10" s="3" t="str">
        <f>TEXT(Fruits_Vendor[[#This Row],[Order_Date]],"mmmm")</f>
        <v>January</v>
      </c>
      <c r="D10" s="3" t="str">
        <f>TEXT(Fruits_Vendor[[#This Row],[Order_Date]],"yyyy")</f>
        <v>2023</v>
      </c>
      <c r="E10">
        <v>2614</v>
      </c>
      <c r="F10" t="s">
        <v>17</v>
      </c>
      <c r="G10" t="s">
        <v>23</v>
      </c>
      <c r="H10" t="s">
        <v>26</v>
      </c>
      <c r="I10" t="s">
        <v>31</v>
      </c>
      <c r="J10">
        <v>29</v>
      </c>
      <c r="K10">
        <v>3.22</v>
      </c>
      <c r="L10">
        <v>0.05</v>
      </c>
      <c r="M10" t="s">
        <v>34</v>
      </c>
      <c r="N10" t="s">
        <v>40</v>
      </c>
      <c r="O10">
        <v>4</v>
      </c>
      <c r="P10">
        <v>4.5</v>
      </c>
      <c r="Q10">
        <v>88.710999999999999</v>
      </c>
    </row>
    <row r="11" spans="1:17" x14ac:dyDescent="0.25">
      <c r="A11">
        <v>1010</v>
      </c>
      <c r="B11" s="3">
        <v>44936</v>
      </c>
      <c r="C11" s="3" t="str">
        <f>TEXT(Fruits_Vendor[[#This Row],[Order_Date]],"mmmm")</f>
        <v>January</v>
      </c>
      <c r="D11" s="3" t="str">
        <f>TEXT(Fruits_Vendor[[#This Row],[Order_Date]],"yyyy")</f>
        <v>2023</v>
      </c>
      <c r="E11">
        <v>2121</v>
      </c>
      <c r="F11" t="s">
        <v>17</v>
      </c>
      <c r="G11" t="s">
        <v>19</v>
      </c>
      <c r="H11" t="s">
        <v>29</v>
      </c>
      <c r="I11" t="s">
        <v>32</v>
      </c>
      <c r="J11">
        <v>12</v>
      </c>
      <c r="K11">
        <v>1.93</v>
      </c>
      <c r="L11">
        <v>0.11</v>
      </c>
      <c r="M11" t="s">
        <v>37</v>
      </c>
      <c r="N11" t="s">
        <v>40</v>
      </c>
      <c r="O11">
        <v>2</v>
      </c>
      <c r="P11">
        <v>4.2</v>
      </c>
      <c r="Q11">
        <v>20.612400000000001</v>
      </c>
    </row>
    <row r="12" spans="1:17" x14ac:dyDescent="0.25">
      <c r="A12">
        <v>1011</v>
      </c>
      <c r="B12" s="3">
        <v>44937</v>
      </c>
      <c r="C12" s="3" t="str">
        <f>TEXT(Fruits_Vendor[[#This Row],[Order_Date]],"mmmm")</f>
        <v>January</v>
      </c>
      <c r="D12" s="3" t="str">
        <f>TEXT(Fruits_Vendor[[#This Row],[Order_Date]],"yyyy")</f>
        <v>2023</v>
      </c>
      <c r="E12">
        <v>2466</v>
      </c>
      <c r="F12" t="s">
        <v>16</v>
      </c>
      <c r="G12" t="s">
        <v>22</v>
      </c>
      <c r="H12" t="s">
        <v>28</v>
      </c>
      <c r="I12" t="s">
        <v>31</v>
      </c>
      <c r="J12">
        <v>36</v>
      </c>
      <c r="K12">
        <v>4.4000000000000004</v>
      </c>
      <c r="L12">
        <v>0.15</v>
      </c>
      <c r="M12" t="s">
        <v>34</v>
      </c>
      <c r="N12" t="s">
        <v>38</v>
      </c>
      <c r="O12">
        <v>4</v>
      </c>
      <c r="P12">
        <v>4.0999999999999996</v>
      </c>
      <c r="Q12">
        <v>134.63999999999999</v>
      </c>
    </row>
    <row r="13" spans="1:17" x14ac:dyDescent="0.25">
      <c r="A13">
        <v>1012</v>
      </c>
      <c r="B13" s="3">
        <v>44938</v>
      </c>
      <c r="C13" s="3" t="str">
        <f>TEXT(Fruits_Vendor[[#This Row],[Order_Date]],"mmmm")</f>
        <v>January</v>
      </c>
      <c r="D13" s="3" t="str">
        <f>TEXT(Fruits_Vendor[[#This Row],[Order_Date]],"yyyy")</f>
        <v>2023</v>
      </c>
      <c r="E13">
        <v>2214</v>
      </c>
      <c r="F13" t="s">
        <v>18</v>
      </c>
      <c r="G13" t="s">
        <v>24</v>
      </c>
      <c r="H13" t="s">
        <v>28</v>
      </c>
      <c r="I13" t="s">
        <v>32</v>
      </c>
      <c r="J13">
        <v>35</v>
      </c>
      <c r="K13">
        <v>4.97</v>
      </c>
      <c r="L13">
        <v>0.02</v>
      </c>
      <c r="M13" t="s">
        <v>36</v>
      </c>
      <c r="N13" t="s">
        <v>40</v>
      </c>
      <c r="O13">
        <v>2</v>
      </c>
      <c r="P13">
        <v>3.3</v>
      </c>
      <c r="Q13">
        <v>170.471</v>
      </c>
    </row>
    <row r="14" spans="1:17" x14ac:dyDescent="0.25">
      <c r="A14">
        <v>1013</v>
      </c>
      <c r="B14" s="3">
        <v>44939</v>
      </c>
      <c r="C14" s="3" t="str">
        <f>TEXT(Fruits_Vendor[[#This Row],[Order_Date]],"mmmm")</f>
        <v>January</v>
      </c>
      <c r="D14" s="3" t="str">
        <f>TEXT(Fruits_Vendor[[#This Row],[Order_Date]],"yyyy")</f>
        <v>2023</v>
      </c>
      <c r="E14">
        <v>2330</v>
      </c>
      <c r="F14" t="s">
        <v>15</v>
      </c>
      <c r="G14" t="s">
        <v>20</v>
      </c>
      <c r="H14" t="s">
        <v>25</v>
      </c>
      <c r="I14" t="s">
        <v>32</v>
      </c>
      <c r="J14">
        <v>12</v>
      </c>
      <c r="K14">
        <v>3.89</v>
      </c>
      <c r="L14">
        <v>0.14000000000000001</v>
      </c>
      <c r="M14" t="s">
        <v>35</v>
      </c>
      <c r="N14" t="s">
        <v>39</v>
      </c>
      <c r="O14">
        <v>1</v>
      </c>
      <c r="P14">
        <v>4.5</v>
      </c>
      <c r="Q14">
        <v>40.144799999999996</v>
      </c>
    </row>
    <row r="15" spans="1:17" x14ac:dyDescent="0.25">
      <c r="A15">
        <v>1014</v>
      </c>
      <c r="B15" s="3">
        <v>44940</v>
      </c>
      <c r="C15" s="3" t="str">
        <f>TEXT(Fruits_Vendor[[#This Row],[Order_Date]],"mmmm")</f>
        <v>January</v>
      </c>
      <c r="D15" s="3" t="str">
        <f>TEXT(Fruits_Vendor[[#This Row],[Order_Date]],"yyyy")</f>
        <v>2023</v>
      </c>
      <c r="E15">
        <v>2458</v>
      </c>
      <c r="F15" t="s">
        <v>15</v>
      </c>
      <c r="G15" t="s">
        <v>20</v>
      </c>
      <c r="H15" t="s">
        <v>27</v>
      </c>
      <c r="I15" t="s">
        <v>31</v>
      </c>
      <c r="J15">
        <v>7</v>
      </c>
      <c r="K15">
        <v>0.91</v>
      </c>
      <c r="L15">
        <v>0.02</v>
      </c>
      <c r="M15" t="s">
        <v>37</v>
      </c>
      <c r="N15" t="s">
        <v>38</v>
      </c>
      <c r="O15">
        <v>5</v>
      </c>
      <c r="P15">
        <v>3.8</v>
      </c>
      <c r="Q15">
        <v>6.2426000000000004</v>
      </c>
    </row>
    <row r="16" spans="1:17" x14ac:dyDescent="0.25">
      <c r="A16">
        <v>1015</v>
      </c>
      <c r="B16" s="3">
        <v>44941</v>
      </c>
      <c r="C16" s="3" t="str">
        <f>TEXT(Fruits_Vendor[[#This Row],[Order_Date]],"mmmm")</f>
        <v>January</v>
      </c>
      <c r="D16" s="3" t="str">
        <f>TEXT(Fruits_Vendor[[#This Row],[Order_Date]],"yyyy")</f>
        <v>2023</v>
      </c>
      <c r="E16">
        <v>2087</v>
      </c>
      <c r="F16" t="s">
        <v>18</v>
      </c>
      <c r="G16" t="s">
        <v>22</v>
      </c>
      <c r="H16" t="s">
        <v>26</v>
      </c>
      <c r="I16" t="s">
        <v>31</v>
      </c>
      <c r="J16">
        <v>29</v>
      </c>
      <c r="K16">
        <v>1.8</v>
      </c>
      <c r="L16">
        <v>0.19</v>
      </c>
      <c r="M16" t="s">
        <v>36</v>
      </c>
      <c r="N16" t="s">
        <v>39</v>
      </c>
      <c r="O16">
        <v>4</v>
      </c>
      <c r="P16">
        <v>2.7</v>
      </c>
      <c r="Q16">
        <v>42.281999999999996</v>
      </c>
    </row>
    <row r="17" spans="1:17" x14ac:dyDescent="0.25">
      <c r="A17">
        <v>1016</v>
      </c>
      <c r="B17" s="3">
        <v>44942</v>
      </c>
      <c r="C17" s="3" t="str">
        <f>TEXT(Fruits_Vendor[[#This Row],[Order_Date]],"mmmm")</f>
        <v>January</v>
      </c>
      <c r="D17" s="3" t="str">
        <f>TEXT(Fruits_Vendor[[#This Row],[Order_Date]],"yyyy")</f>
        <v>2023</v>
      </c>
      <c r="E17">
        <v>2372</v>
      </c>
      <c r="F17" t="s">
        <v>15</v>
      </c>
      <c r="G17" t="s">
        <v>19</v>
      </c>
      <c r="H17" t="s">
        <v>30</v>
      </c>
      <c r="I17" t="s">
        <v>31</v>
      </c>
      <c r="J17">
        <v>11</v>
      </c>
      <c r="K17">
        <v>0.99</v>
      </c>
      <c r="L17">
        <v>0.1</v>
      </c>
      <c r="M17" t="s">
        <v>35</v>
      </c>
      <c r="N17" t="s">
        <v>38</v>
      </c>
      <c r="O17">
        <v>2</v>
      </c>
      <c r="P17">
        <v>3.3</v>
      </c>
      <c r="Q17">
        <v>9.8010000000000002</v>
      </c>
    </row>
    <row r="18" spans="1:17" x14ac:dyDescent="0.25">
      <c r="A18">
        <v>1017</v>
      </c>
      <c r="B18" s="3">
        <v>44943</v>
      </c>
      <c r="C18" s="3" t="str">
        <f>TEXT(Fruits_Vendor[[#This Row],[Order_Date]],"mmmm")</f>
        <v>January</v>
      </c>
      <c r="D18" s="3" t="str">
        <f>TEXT(Fruits_Vendor[[#This Row],[Order_Date]],"yyyy")</f>
        <v>2023</v>
      </c>
      <c r="E18">
        <v>2099</v>
      </c>
      <c r="F18" t="s">
        <v>18</v>
      </c>
      <c r="G18" t="s">
        <v>21</v>
      </c>
      <c r="H18" t="s">
        <v>27</v>
      </c>
      <c r="I18" t="s">
        <v>32</v>
      </c>
      <c r="J18">
        <v>33</v>
      </c>
      <c r="K18">
        <v>3.43</v>
      </c>
      <c r="L18">
        <v>0.03</v>
      </c>
      <c r="M18" t="s">
        <v>37</v>
      </c>
      <c r="N18" t="s">
        <v>38</v>
      </c>
      <c r="O18">
        <v>3</v>
      </c>
      <c r="P18">
        <v>4.8</v>
      </c>
      <c r="Q18">
        <v>109.79430000000001</v>
      </c>
    </row>
    <row r="19" spans="1:17" x14ac:dyDescent="0.25">
      <c r="A19">
        <v>1018</v>
      </c>
      <c r="B19" s="3">
        <v>44944</v>
      </c>
      <c r="C19" s="3" t="str">
        <f>TEXT(Fruits_Vendor[[#This Row],[Order_Date]],"mmmm")</f>
        <v>January</v>
      </c>
      <c r="D19" s="3" t="str">
        <f>TEXT(Fruits_Vendor[[#This Row],[Order_Date]],"yyyy")</f>
        <v>2023</v>
      </c>
      <c r="E19">
        <v>2871</v>
      </c>
      <c r="F19" t="s">
        <v>15</v>
      </c>
      <c r="G19" t="s">
        <v>19</v>
      </c>
      <c r="H19" t="s">
        <v>27</v>
      </c>
      <c r="I19" t="s">
        <v>32</v>
      </c>
      <c r="J19">
        <v>6</v>
      </c>
      <c r="K19">
        <v>3.94</v>
      </c>
      <c r="L19">
        <v>7.0000000000000007E-2</v>
      </c>
      <c r="M19" t="s">
        <v>34</v>
      </c>
      <c r="N19" t="s">
        <v>38</v>
      </c>
      <c r="O19">
        <v>4</v>
      </c>
      <c r="P19">
        <v>4.5999999999999996</v>
      </c>
      <c r="Q19">
        <v>21.985199999999999</v>
      </c>
    </row>
    <row r="20" spans="1:17" x14ac:dyDescent="0.25">
      <c r="A20">
        <v>1019</v>
      </c>
      <c r="B20" s="3">
        <v>44945</v>
      </c>
      <c r="C20" s="3" t="str">
        <f>TEXT(Fruits_Vendor[[#This Row],[Order_Date]],"mmmm")</f>
        <v>January</v>
      </c>
      <c r="D20" s="3" t="str">
        <f>TEXT(Fruits_Vendor[[#This Row],[Order_Date]],"yyyy")</f>
        <v>2023</v>
      </c>
      <c r="E20">
        <v>2663</v>
      </c>
      <c r="F20" t="s">
        <v>17</v>
      </c>
      <c r="G20" t="s">
        <v>22</v>
      </c>
      <c r="H20" t="s">
        <v>28</v>
      </c>
      <c r="I20" t="s">
        <v>33</v>
      </c>
      <c r="J20">
        <v>47</v>
      </c>
      <c r="K20">
        <v>4.67</v>
      </c>
      <c r="L20">
        <v>0.08</v>
      </c>
      <c r="M20" t="s">
        <v>36</v>
      </c>
      <c r="N20" t="s">
        <v>38</v>
      </c>
      <c r="O20">
        <v>6</v>
      </c>
      <c r="P20">
        <v>5</v>
      </c>
      <c r="Q20">
        <v>201.9308</v>
      </c>
    </row>
    <row r="21" spans="1:17" x14ac:dyDescent="0.25">
      <c r="A21">
        <v>1020</v>
      </c>
      <c r="B21" s="3">
        <v>44946</v>
      </c>
      <c r="C21" s="3" t="str">
        <f>TEXT(Fruits_Vendor[[#This Row],[Order_Date]],"mmmm")</f>
        <v>January</v>
      </c>
      <c r="D21" s="3" t="str">
        <f>TEXT(Fruits_Vendor[[#This Row],[Order_Date]],"yyyy")</f>
        <v>2023</v>
      </c>
      <c r="E21">
        <v>2130</v>
      </c>
      <c r="F21" t="s">
        <v>15</v>
      </c>
      <c r="G21" t="s">
        <v>20</v>
      </c>
      <c r="H21" t="s">
        <v>27</v>
      </c>
      <c r="I21" t="s">
        <v>31</v>
      </c>
      <c r="J21">
        <v>15</v>
      </c>
      <c r="K21">
        <v>2.4700000000000002</v>
      </c>
      <c r="L21">
        <v>0.15</v>
      </c>
      <c r="M21" t="s">
        <v>35</v>
      </c>
      <c r="N21" t="s">
        <v>40</v>
      </c>
      <c r="O21">
        <v>1</v>
      </c>
      <c r="P21">
        <v>4.0999999999999996</v>
      </c>
      <c r="Q21">
        <v>31.4925</v>
      </c>
    </row>
    <row r="22" spans="1:17" x14ac:dyDescent="0.25">
      <c r="A22">
        <v>1021</v>
      </c>
      <c r="B22" s="3">
        <v>44947</v>
      </c>
      <c r="C22" s="3" t="str">
        <f>TEXT(Fruits_Vendor[[#This Row],[Order_Date]],"mmmm")</f>
        <v>January</v>
      </c>
      <c r="D22" s="3" t="str">
        <f>TEXT(Fruits_Vendor[[#This Row],[Order_Date]],"yyyy")</f>
        <v>2023</v>
      </c>
      <c r="E22">
        <v>2661</v>
      </c>
      <c r="F22" t="s">
        <v>18</v>
      </c>
      <c r="G22" t="s">
        <v>19</v>
      </c>
      <c r="H22" t="s">
        <v>26</v>
      </c>
      <c r="I22" t="s">
        <v>32</v>
      </c>
      <c r="J22">
        <v>32</v>
      </c>
      <c r="K22">
        <v>4.5599999999999996</v>
      </c>
      <c r="L22">
        <v>0.15</v>
      </c>
      <c r="M22" t="s">
        <v>37</v>
      </c>
      <c r="N22" t="s">
        <v>39</v>
      </c>
      <c r="O22">
        <v>1</v>
      </c>
      <c r="P22">
        <v>3.1</v>
      </c>
      <c r="Q22">
        <v>124.032</v>
      </c>
    </row>
    <row r="23" spans="1:17" x14ac:dyDescent="0.25">
      <c r="A23">
        <v>1022</v>
      </c>
      <c r="B23" s="3">
        <v>44948</v>
      </c>
      <c r="C23" s="3" t="str">
        <f>TEXT(Fruits_Vendor[[#This Row],[Order_Date]],"mmmm")</f>
        <v>January</v>
      </c>
      <c r="D23" s="3" t="str">
        <f>TEXT(Fruits_Vendor[[#This Row],[Order_Date]],"yyyy")</f>
        <v>2023</v>
      </c>
      <c r="E23">
        <v>2308</v>
      </c>
      <c r="F23" t="s">
        <v>18</v>
      </c>
      <c r="G23" t="s">
        <v>20</v>
      </c>
      <c r="H23" t="s">
        <v>26</v>
      </c>
      <c r="I23" t="s">
        <v>32</v>
      </c>
      <c r="J23">
        <v>11</v>
      </c>
      <c r="K23">
        <v>4.45</v>
      </c>
      <c r="L23">
        <v>0.12</v>
      </c>
      <c r="M23" t="s">
        <v>37</v>
      </c>
      <c r="N23" t="s">
        <v>39</v>
      </c>
      <c r="O23">
        <v>3</v>
      </c>
      <c r="P23">
        <v>2.9</v>
      </c>
      <c r="Q23">
        <v>43.076000000000001</v>
      </c>
    </row>
    <row r="24" spans="1:17" x14ac:dyDescent="0.25">
      <c r="A24">
        <v>1023</v>
      </c>
      <c r="B24" s="3">
        <v>44949</v>
      </c>
      <c r="C24" s="3" t="str">
        <f>TEXT(Fruits_Vendor[[#This Row],[Order_Date]],"mmmm")</f>
        <v>January</v>
      </c>
      <c r="D24" s="3" t="str">
        <f>TEXT(Fruits_Vendor[[#This Row],[Order_Date]],"yyyy")</f>
        <v>2023</v>
      </c>
      <c r="E24">
        <v>2769</v>
      </c>
      <c r="F24" t="s">
        <v>18</v>
      </c>
      <c r="G24" t="s">
        <v>21</v>
      </c>
      <c r="H24" t="s">
        <v>29</v>
      </c>
      <c r="I24" t="s">
        <v>31</v>
      </c>
      <c r="J24">
        <v>23</v>
      </c>
      <c r="K24">
        <v>1.93</v>
      </c>
      <c r="L24">
        <v>0.02</v>
      </c>
      <c r="M24" t="s">
        <v>34</v>
      </c>
      <c r="N24" t="s">
        <v>39</v>
      </c>
      <c r="O24">
        <v>2</v>
      </c>
      <c r="P24">
        <v>3</v>
      </c>
      <c r="Q24">
        <v>43.502200000000002</v>
      </c>
    </row>
    <row r="25" spans="1:17" x14ac:dyDescent="0.25">
      <c r="A25">
        <v>1024</v>
      </c>
      <c r="B25" s="3">
        <v>44950</v>
      </c>
      <c r="C25" s="3" t="str">
        <f>TEXT(Fruits_Vendor[[#This Row],[Order_Date]],"mmmm")</f>
        <v>January</v>
      </c>
      <c r="D25" s="3" t="str">
        <f>TEXT(Fruits_Vendor[[#This Row],[Order_Date]],"yyyy")</f>
        <v>2023</v>
      </c>
      <c r="E25">
        <v>2343</v>
      </c>
      <c r="F25" t="s">
        <v>18</v>
      </c>
      <c r="G25" t="s">
        <v>20</v>
      </c>
      <c r="H25" t="s">
        <v>26</v>
      </c>
      <c r="I25" t="s">
        <v>33</v>
      </c>
      <c r="J25">
        <v>26</v>
      </c>
      <c r="K25">
        <v>4.41</v>
      </c>
      <c r="L25">
        <v>0.03</v>
      </c>
      <c r="M25" t="s">
        <v>35</v>
      </c>
      <c r="N25" t="s">
        <v>38</v>
      </c>
      <c r="O25">
        <v>4</v>
      </c>
      <c r="P25">
        <v>2.5</v>
      </c>
      <c r="Q25">
        <v>111.22020000000001</v>
      </c>
    </row>
    <row r="26" spans="1:17" x14ac:dyDescent="0.25">
      <c r="A26">
        <v>1025</v>
      </c>
      <c r="B26" s="3">
        <v>44951</v>
      </c>
      <c r="C26" s="3" t="str">
        <f>TEXT(Fruits_Vendor[[#This Row],[Order_Date]],"mmmm")</f>
        <v>January</v>
      </c>
      <c r="D26" s="3" t="str">
        <f>TEXT(Fruits_Vendor[[#This Row],[Order_Date]],"yyyy")</f>
        <v>2023</v>
      </c>
      <c r="E26">
        <v>2491</v>
      </c>
      <c r="F26" t="s">
        <v>18</v>
      </c>
      <c r="G26" t="s">
        <v>20</v>
      </c>
      <c r="H26" t="s">
        <v>26</v>
      </c>
      <c r="I26" t="s">
        <v>31</v>
      </c>
      <c r="J26">
        <v>34</v>
      </c>
      <c r="K26">
        <v>2.19</v>
      </c>
      <c r="L26">
        <v>0.02</v>
      </c>
      <c r="M26" t="s">
        <v>34</v>
      </c>
      <c r="N26" t="s">
        <v>40</v>
      </c>
      <c r="O26">
        <v>2</v>
      </c>
      <c r="P26">
        <v>3.5</v>
      </c>
      <c r="Q26">
        <v>72.970799999999997</v>
      </c>
    </row>
    <row r="27" spans="1:17" x14ac:dyDescent="0.25">
      <c r="A27">
        <v>1026</v>
      </c>
      <c r="B27" s="3">
        <v>44952</v>
      </c>
      <c r="C27" s="3" t="str">
        <f>TEXT(Fruits_Vendor[[#This Row],[Order_Date]],"mmmm")</f>
        <v>January</v>
      </c>
      <c r="D27" s="3" t="str">
        <f>TEXT(Fruits_Vendor[[#This Row],[Order_Date]],"yyyy")</f>
        <v>2023</v>
      </c>
      <c r="E27">
        <v>2413</v>
      </c>
      <c r="F27" t="s">
        <v>16</v>
      </c>
      <c r="G27" t="s">
        <v>24</v>
      </c>
      <c r="H27" t="s">
        <v>28</v>
      </c>
      <c r="I27" t="s">
        <v>33</v>
      </c>
      <c r="J27">
        <v>46</v>
      </c>
      <c r="K27">
        <v>1.84</v>
      </c>
      <c r="L27">
        <v>0.12</v>
      </c>
      <c r="M27" t="s">
        <v>34</v>
      </c>
      <c r="N27" t="s">
        <v>39</v>
      </c>
      <c r="O27">
        <v>1</v>
      </c>
      <c r="P27">
        <v>3</v>
      </c>
      <c r="Q27">
        <v>74.483199999999997</v>
      </c>
    </row>
    <row r="28" spans="1:17" x14ac:dyDescent="0.25">
      <c r="A28">
        <v>1027</v>
      </c>
      <c r="B28" s="3">
        <v>44953</v>
      </c>
      <c r="C28" s="3" t="str">
        <f>TEXT(Fruits_Vendor[[#This Row],[Order_Date]],"mmmm")</f>
        <v>January</v>
      </c>
      <c r="D28" s="3" t="str">
        <f>TEXT(Fruits_Vendor[[#This Row],[Order_Date]],"yyyy")</f>
        <v>2023</v>
      </c>
      <c r="E28">
        <v>2805</v>
      </c>
      <c r="F28" t="s">
        <v>16</v>
      </c>
      <c r="G28" t="s">
        <v>24</v>
      </c>
      <c r="H28" t="s">
        <v>26</v>
      </c>
      <c r="I28" t="s">
        <v>32</v>
      </c>
      <c r="J28">
        <v>34</v>
      </c>
      <c r="K28">
        <v>3.42</v>
      </c>
      <c r="L28">
        <v>0.18</v>
      </c>
      <c r="M28" t="s">
        <v>35</v>
      </c>
      <c r="N28" t="s">
        <v>40</v>
      </c>
      <c r="O28">
        <v>2</v>
      </c>
      <c r="P28">
        <v>3.5</v>
      </c>
      <c r="Q28">
        <v>95.349600000000009</v>
      </c>
    </row>
    <row r="29" spans="1:17" x14ac:dyDescent="0.25">
      <c r="A29">
        <v>1028</v>
      </c>
      <c r="B29" s="3">
        <v>44954</v>
      </c>
      <c r="C29" s="3" t="str">
        <f>TEXT(Fruits_Vendor[[#This Row],[Order_Date]],"mmmm")</f>
        <v>January</v>
      </c>
      <c r="D29" s="3" t="str">
        <f>TEXT(Fruits_Vendor[[#This Row],[Order_Date]],"yyyy")</f>
        <v>2023</v>
      </c>
      <c r="E29">
        <v>2385</v>
      </c>
      <c r="F29" t="s">
        <v>15</v>
      </c>
      <c r="G29" t="s">
        <v>23</v>
      </c>
      <c r="H29" t="s">
        <v>29</v>
      </c>
      <c r="I29" t="s">
        <v>33</v>
      </c>
      <c r="J29">
        <v>29</v>
      </c>
      <c r="K29">
        <v>1.98</v>
      </c>
      <c r="L29">
        <v>0.09</v>
      </c>
      <c r="M29" t="s">
        <v>35</v>
      </c>
      <c r="N29" t="s">
        <v>38</v>
      </c>
      <c r="O29">
        <v>1</v>
      </c>
      <c r="P29">
        <v>4.8</v>
      </c>
      <c r="Q29">
        <v>52.252200000000002</v>
      </c>
    </row>
    <row r="30" spans="1:17" x14ac:dyDescent="0.25">
      <c r="A30">
        <v>1029</v>
      </c>
      <c r="B30" s="3">
        <v>44955</v>
      </c>
      <c r="C30" s="3" t="str">
        <f>TEXT(Fruits_Vendor[[#This Row],[Order_Date]],"mmmm")</f>
        <v>January</v>
      </c>
      <c r="D30" s="3" t="str">
        <f>TEXT(Fruits_Vendor[[#This Row],[Order_Date]],"yyyy")</f>
        <v>2023</v>
      </c>
      <c r="E30">
        <v>2191</v>
      </c>
      <c r="F30" t="s">
        <v>18</v>
      </c>
      <c r="G30" t="s">
        <v>24</v>
      </c>
      <c r="H30" t="s">
        <v>30</v>
      </c>
      <c r="I30" t="s">
        <v>32</v>
      </c>
      <c r="J30">
        <v>4</v>
      </c>
      <c r="K30">
        <v>3.34</v>
      </c>
      <c r="L30">
        <v>0.03</v>
      </c>
      <c r="M30" t="s">
        <v>35</v>
      </c>
      <c r="N30" t="s">
        <v>39</v>
      </c>
      <c r="O30">
        <v>2</v>
      </c>
      <c r="P30">
        <v>3.6</v>
      </c>
      <c r="Q30">
        <v>12.959199999999999</v>
      </c>
    </row>
    <row r="31" spans="1:17" x14ac:dyDescent="0.25">
      <c r="A31">
        <v>1030</v>
      </c>
      <c r="B31" s="3">
        <v>44956</v>
      </c>
      <c r="C31" s="3" t="str">
        <f>TEXT(Fruits_Vendor[[#This Row],[Order_Date]],"mmmm")</f>
        <v>January</v>
      </c>
      <c r="D31" s="3" t="str">
        <f>TEXT(Fruits_Vendor[[#This Row],[Order_Date]],"yyyy")</f>
        <v>2023</v>
      </c>
      <c r="E31">
        <v>2955</v>
      </c>
      <c r="F31" t="s">
        <v>15</v>
      </c>
      <c r="G31" t="s">
        <v>20</v>
      </c>
      <c r="H31" t="s">
        <v>28</v>
      </c>
      <c r="I31" t="s">
        <v>31</v>
      </c>
      <c r="J31">
        <v>17</v>
      </c>
      <c r="K31">
        <v>3.24</v>
      </c>
      <c r="L31">
        <v>0.11</v>
      </c>
      <c r="M31" t="s">
        <v>36</v>
      </c>
      <c r="N31" t="s">
        <v>40</v>
      </c>
      <c r="O31">
        <v>3</v>
      </c>
      <c r="P31">
        <v>4.7</v>
      </c>
      <c r="Q31">
        <v>49.021200000000007</v>
      </c>
    </row>
    <row r="32" spans="1:17" x14ac:dyDescent="0.25">
      <c r="A32">
        <v>1031</v>
      </c>
      <c r="B32" s="3">
        <v>44957</v>
      </c>
      <c r="C32" s="3" t="str">
        <f>TEXT(Fruits_Vendor[[#This Row],[Order_Date]],"mmmm")</f>
        <v>January</v>
      </c>
      <c r="D32" s="3" t="str">
        <f>TEXT(Fruits_Vendor[[#This Row],[Order_Date]],"yyyy")</f>
        <v>2023</v>
      </c>
      <c r="E32">
        <v>2276</v>
      </c>
      <c r="F32" t="s">
        <v>18</v>
      </c>
      <c r="G32" t="s">
        <v>22</v>
      </c>
      <c r="H32" t="s">
        <v>30</v>
      </c>
      <c r="I32" t="s">
        <v>31</v>
      </c>
      <c r="J32">
        <v>35</v>
      </c>
      <c r="K32">
        <v>3.04</v>
      </c>
      <c r="L32">
        <v>0.16</v>
      </c>
      <c r="M32" t="s">
        <v>35</v>
      </c>
      <c r="N32" t="s">
        <v>38</v>
      </c>
      <c r="O32">
        <v>5</v>
      </c>
      <c r="P32">
        <v>4</v>
      </c>
      <c r="Q32">
        <v>89.376000000000005</v>
      </c>
    </row>
    <row r="33" spans="1:17" x14ac:dyDescent="0.25">
      <c r="A33">
        <v>1032</v>
      </c>
      <c r="B33" s="3">
        <v>44958</v>
      </c>
      <c r="C33" s="3" t="str">
        <f>TEXT(Fruits_Vendor[[#This Row],[Order_Date]],"mmmm")</f>
        <v>February</v>
      </c>
      <c r="D33" s="3" t="str">
        <f>TEXT(Fruits_Vendor[[#This Row],[Order_Date]],"yyyy")</f>
        <v>2023</v>
      </c>
      <c r="E33">
        <v>2160</v>
      </c>
      <c r="F33" t="s">
        <v>18</v>
      </c>
      <c r="G33" t="s">
        <v>20</v>
      </c>
      <c r="H33" t="s">
        <v>28</v>
      </c>
      <c r="I33" t="s">
        <v>31</v>
      </c>
      <c r="J33">
        <v>13</v>
      </c>
      <c r="K33">
        <v>2.21</v>
      </c>
      <c r="L33">
        <v>0.15</v>
      </c>
      <c r="M33" t="s">
        <v>37</v>
      </c>
      <c r="N33" t="s">
        <v>40</v>
      </c>
      <c r="O33">
        <v>3</v>
      </c>
      <c r="P33">
        <v>3.1</v>
      </c>
      <c r="Q33">
        <v>24.420500000000001</v>
      </c>
    </row>
    <row r="34" spans="1:17" x14ac:dyDescent="0.25">
      <c r="A34">
        <v>1033</v>
      </c>
      <c r="B34" s="3">
        <v>44959</v>
      </c>
      <c r="C34" s="3" t="str">
        <f>TEXT(Fruits_Vendor[[#This Row],[Order_Date]],"mmmm")</f>
        <v>February</v>
      </c>
      <c r="D34" s="3" t="str">
        <f>TEXT(Fruits_Vendor[[#This Row],[Order_Date]],"yyyy")</f>
        <v>2023</v>
      </c>
      <c r="E34">
        <v>2459</v>
      </c>
      <c r="F34" t="s">
        <v>16</v>
      </c>
      <c r="G34" t="s">
        <v>22</v>
      </c>
      <c r="H34" t="s">
        <v>25</v>
      </c>
      <c r="I34" t="s">
        <v>33</v>
      </c>
      <c r="J34">
        <v>41</v>
      </c>
      <c r="K34">
        <v>2.97</v>
      </c>
      <c r="L34">
        <v>0.18</v>
      </c>
      <c r="M34" t="s">
        <v>34</v>
      </c>
      <c r="N34" t="s">
        <v>39</v>
      </c>
      <c r="O34">
        <v>3</v>
      </c>
      <c r="P34">
        <v>3.4</v>
      </c>
      <c r="Q34">
        <v>99.851400000000012</v>
      </c>
    </row>
    <row r="35" spans="1:17" x14ac:dyDescent="0.25">
      <c r="A35">
        <v>1034</v>
      </c>
      <c r="B35" s="3">
        <v>44960</v>
      </c>
      <c r="C35" s="3" t="str">
        <f>TEXT(Fruits_Vendor[[#This Row],[Order_Date]],"mmmm")</f>
        <v>February</v>
      </c>
      <c r="D35" s="3" t="str">
        <f>TEXT(Fruits_Vendor[[#This Row],[Order_Date]],"yyyy")</f>
        <v>2023</v>
      </c>
      <c r="E35">
        <v>2313</v>
      </c>
      <c r="F35" t="s">
        <v>16</v>
      </c>
      <c r="G35" t="s">
        <v>22</v>
      </c>
      <c r="H35" t="s">
        <v>27</v>
      </c>
      <c r="I35" t="s">
        <v>32</v>
      </c>
      <c r="J35">
        <v>39</v>
      </c>
      <c r="K35">
        <v>3.18</v>
      </c>
      <c r="L35">
        <v>0.06</v>
      </c>
      <c r="M35" t="s">
        <v>36</v>
      </c>
      <c r="N35" t="s">
        <v>39</v>
      </c>
      <c r="O35">
        <v>5</v>
      </c>
      <c r="P35">
        <v>2.7</v>
      </c>
      <c r="Q35">
        <v>116.5788</v>
      </c>
    </row>
    <row r="36" spans="1:17" x14ac:dyDescent="0.25">
      <c r="A36">
        <v>1035</v>
      </c>
      <c r="B36" s="3">
        <v>44961</v>
      </c>
      <c r="C36" s="3" t="str">
        <f>TEXT(Fruits_Vendor[[#This Row],[Order_Date]],"mmmm")</f>
        <v>February</v>
      </c>
      <c r="D36" s="3" t="str">
        <f>TEXT(Fruits_Vendor[[#This Row],[Order_Date]],"yyyy")</f>
        <v>2023</v>
      </c>
      <c r="E36">
        <v>2021</v>
      </c>
      <c r="F36" t="s">
        <v>17</v>
      </c>
      <c r="G36" t="s">
        <v>24</v>
      </c>
      <c r="H36" t="s">
        <v>25</v>
      </c>
      <c r="I36" t="s">
        <v>31</v>
      </c>
      <c r="J36">
        <v>15</v>
      </c>
      <c r="K36">
        <v>2.96</v>
      </c>
      <c r="L36">
        <v>0.04</v>
      </c>
      <c r="M36" t="s">
        <v>35</v>
      </c>
      <c r="N36" t="s">
        <v>38</v>
      </c>
      <c r="O36">
        <v>5</v>
      </c>
      <c r="P36">
        <v>3.3</v>
      </c>
      <c r="Q36">
        <v>42.624000000000002</v>
      </c>
    </row>
    <row r="37" spans="1:17" x14ac:dyDescent="0.25">
      <c r="A37">
        <v>1036</v>
      </c>
      <c r="B37" s="3">
        <v>44962</v>
      </c>
      <c r="C37" s="3" t="str">
        <f>TEXT(Fruits_Vendor[[#This Row],[Order_Date]],"mmmm")</f>
        <v>February</v>
      </c>
      <c r="D37" s="3" t="str">
        <f>TEXT(Fruits_Vendor[[#This Row],[Order_Date]],"yyyy")</f>
        <v>2023</v>
      </c>
      <c r="E37">
        <v>2252</v>
      </c>
      <c r="F37" t="s">
        <v>16</v>
      </c>
      <c r="G37" t="s">
        <v>19</v>
      </c>
      <c r="H37" t="s">
        <v>26</v>
      </c>
      <c r="I37" t="s">
        <v>31</v>
      </c>
      <c r="J37">
        <v>29</v>
      </c>
      <c r="K37">
        <v>2.5</v>
      </c>
      <c r="L37">
        <v>0.18</v>
      </c>
      <c r="M37" t="s">
        <v>36</v>
      </c>
      <c r="N37" t="s">
        <v>38</v>
      </c>
      <c r="O37">
        <v>4</v>
      </c>
      <c r="P37">
        <v>4.2</v>
      </c>
      <c r="Q37">
        <v>59.45</v>
      </c>
    </row>
    <row r="38" spans="1:17" x14ac:dyDescent="0.25">
      <c r="A38">
        <v>1037</v>
      </c>
      <c r="B38" s="3">
        <v>44963</v>
      </c>
      <c r="C38" s="3" t="str">
        <f>TEXT(Fruits_Vendor[[#This Row],[Order_Date]],"mmmm")</f>
        <v>February</v>
      </c>
      <c r="D38" s="3" t="str">
        <f>TEXT(Fruits_Vendor[[#This Row],[Order_Date]],"yyyy")</f>
        <v>2023</v>
      </c>
      <c r="E38">
        <v>2747</v>
      </c>
      <c r="F38" t="s">
        <v>17</v>
      </c>
      <c r="G38" t="s">
        <v>21</v>
      </c>
      <c r="H38" t="s">
        <v>30</v>
      </c>
      <c r="I38" t="s">
        <v>32</v>
      </c>
      <c r="J38">
        <v>29</v>
      </c>
      <c r="K38">
        <v>0.56999999999999995</v>
      </c>
      <c r="L38">
        <v>0.13</v>
      </c>
      <c r="M38" t="s">
        <v>35</v>
      </c>
      <c r="N38" t="s">
        <v>38</v>
      </c>
      <c r="O38">
        <v>4</v>
      </c>
      <c r="P38">
        <v>2.7</v>
      </c>
      <c r="Q38">
        <v>14.3811</v>
      </c>
    </row>
    <row r="39" spans="1:17" x14ac:dyDescent="0.25">
      <c r="A39">
        <v>1038</v>
      </c>
      <c r="B39" s="3">
        <v>44964</v>
      </c>
      <c r="C39" s="3" t="str">
        <f>TEXT(Fruits_Vendor[[#This Row],[Order_Date]],"mmmm")</f>
        <v>February</v>
      </c>
      <c r="D39" s="3" t="str">
        <f>TEXT(Fruits_Vendor[[#This Row],[Order_Date]],"yyyy")</f>
        <v>2023</v>
      </c>
      <c r="E39">
        <v>2856</v>
      </c>
      <c r="F39" t="s">
        <v>17</v>
      </c>
      <c r="G39" t="s">
        <v>24</v>
      </c>
      <c r="H39" t="s">
        <v>26</v>
      </c>
      <c r="I39" t="s">
        <v>31</v>
      </c>
      <c r="J39">
        <v>11</v>
      </c>
      <c r="K39">
        <v>3.14</v>
      </c>
      <c r="L39">
        <v>0.06</v>
      </c>
      <c r="M39" t="s">
        <v>36</v>
      </c>
      <c r="N39" t="s">
        <v>40</v>
      </c>
      <c r="O39">
        <v>3</v>
      </c>
      <c r="P39">
        <v>3</v>
      </c>
      <c r="Q39">
        <v>32.467599999999997</v>
      </c>
    </row>
    <row r="40" spans="1:17" x14ac:dyDescent="0.25">
      <c r="A40">
        <v>1039</v>
      </c>
      <c r="B40" s="3">
        <v>44965</v>
      </c>
      <c r="C40" s="3" t="str">
        <f>TEXT(Fruits_Vendor[[#This Row],[Order_Date]],"mmmm")</f>
        <v>February</v>
      </c>
      <c r="D40" s="3" t="str">
        <f>TEXT(Fruits_Vendor[[#This Row],[Order_Date]],"yyyy")</f>
        <v>2023</v>
      </c>
      <c r="E40">
        <v>2560</v>
      </c>
      <c r="F40" t="s">
        <v>17</v>
      </c>
      <c r="G40" t="s">
        <v>24</v>
      </c>
      <c r="H40" t="s">
        <v>27</v>
      </c>
      <c r="I40" t="s">
        <v>32</v>
      </c>
      <c r="J40">
        <v>32</v>
      </c>
      <c r="K40">
        <v>1.26</v>
      </c>
      <c r="L40">
        <v>0.15</v>
      </c>
      <c r="M40" t="s">
        <v>34</v>
      </c>
      <c r="N40" t="s">
        <v>40</v>
      </c>
      <c r="O40">
        <v>3</v>
      </c>
      <c r="P40">
        <v>3.5</v>
      </c>
      <c r="Q40">
        <v>34.271999999999998</v>
      </c>
    </row>
    <row r="41" spans="1:17" x14ac:dyDescent="0.25">
      <c r="A41">
        <v>1040</v>
      </c>
      <c r="B41" s="3">
        <v>44966</v>
      </c>
      <c r="C41" s="3" t="str">
        <f>TEXT(Fruits_Vendor[[#This Row],[Order_Date]],"mmmm")</f>
        <v>February</v>
      </c>
      <c r="D41" s="3" t="str">
        <f>TEXT(Fruits_Vendor[[#This Row],[Order_Date]],"yyyy")</f>
        <v>2023</v>
      </c>
      <c r="E41">
        <v>2474</v>
      </c>
      <c r="F41" t="s">
        <v>17</v>
      </c>
      <c r="G41" t="s">
        <v>19</v>
      </c>
      <c r="H41" t="s">
        <v>28</v>
      </c>
      <c r="I41" t="s">
        <v>32</v>
      </c>
      <c r="J41">
        <v>2</v>
      </c>
      <c r="K41">
        <v>3.39</v>
      </c>
      <c r="L41">
        <v>0.16</v>
      </c>
      <c r="M41" t="s">
        <v>34</v>
      </c>
      <c r="N41" t="s">
        <v>40</v>
      </c>
      <c r="O41">
        <v>1</v>
      </c>
      <c r="P41">
        <v>5</v>
      </c>
      <c r="Q41">
        <v>5.6951999999999998</v>
      </c>
    </row>
    <row r="42" spans="1:17" x14ac:dyDescent="0.25">
      <c r="A42">
        <v>1041</v>
      </c>
      <c r="B42" s="3">
        <v>44967</v>
      </c>
      <c r="C42" s="3" t="str">
        <f>TEXT(Fruits_Vendor[[#This Row],[Order_Date]],"mmmm")</f>
        <v>February</v>
      </c>
      <c r="D42" s="3" t="str">
        <f>TEXT(Fruits_Vendor[[#This Row],[Order_Date]],"yyyy")</f>
        <v>2023</v>
      </c>
      <c r="E42">
        <v>2058</v>
      </c>
      <c r="F42" t="s">
        <v>17</v>
      </c>
      <c r="G42" t="s">
        <v>21</v>
      </c>
      <c r="H42" t="s">
        <v>27</v>
      </c>
      <c r="I42" t="s">
        <v>32</v>
      </c>
      <c r="J42">
        <v>47</v>
      </c>
      <c r="K42">
        <v>3.92</v>
      </c>
      <c r="L42">
        <v>0.12</v>
      </c>
      <c r="M42" t="s">
        <v>37</v>
      </c>
      <c r="N42" t="s">
        <v>38</v>
      </c>
      <c r="O42">
        <v>1</v>
      </c>
      <c r="P42">
        <v>4.5</v>
      </c>
      <c r="Q42">
        <v>162.13120000000001</v>
      </c>
    </row>
    <row r="43" spans="1:17" x14ac:dyDescent="0.25">
      <c r="A43">
        <v>1042</v>
      </c>
      <c r="B43" s="3">
        <v>44968</v>
      </c>
      <c r="C43" s="3" t="str">
        <f>TEXT(Fruits_Vendor[[#This Row],[Order_Date]],"mmmm")</f>
        <v>February</v>
      </c>
      <c r="D43" s="3" t="str">
        <f>TEXT(Fruits_Vendor[[#This Row],[Order_Date]],"yyyy")</f>
        <v>2023</v>
      </c>
      <c r="E43">
        <v>2510</v>
      </c>
      <c r="F43" t="s">
        <v>15</v>
      </c>
      <c r="G43" t="s">
        <v>20</v>
      </c>
      <c r="H43" t="s">
        <v>29</v>
      </c>
      <c r="I43" t="s">
        <v>32</v>
      </c>
      <c r="J43">
        <v>14</v>
      </c>
      <c r="K43">
        <v>2.75</v>
      </c>
      <c r="L43">
        <v>0.14000000000000001</v>
      </c>
      <c r="M43" t="s">
        <v>37</v>
      </c>
      <c r="N43" t="s">
        <v>39</v>
      </c>
      <c r="O43">
        <v>4</v>
      </c>
      <c r="P43">
        <v>4.3</v>
      </c>
      <c r="Q43">
        <v>33.11</v>
      </c>
    </row>
    <row r="44" spans="1:17" x14ac:dyDescent="0.25">
      <c r="A44">
        <v>1043</v>
      </c>
      <c r="B44" s="3">
        <v>44969</v>
      </c>
      <c r="C44" s="3" t="str">
        <f>TEXT(Fruits_Vendor[[#This Row],[Order_Date]],"mmmm")</f>
        <v>February</v>
      </c>
      <c r="D44" s="3" t="str">
        <f>TEXT(Fruits_Vendor[[#This Row],[Order_Date]],"yyyy")</f>
        <v>2023</v>
      </c>
      <c r="E44">
        <v>2681</v>
      </c>
      <c r="F44" t="s">
        <v>16</v>
      </c>
      <c r="G44" t="s">
        <v>23</v>
      </c>
      <c r="H44" t="s">
        <v>27</v>
      </c>
      <c r="I44" t="s">
        <v>32</v>
      </c>
      <c r="J44">
        <v>20</v>
      </c>
      <c r="K44">
        <v>2.94</v>
      </c>
      <c r="L44">
        <v>0.08</v>
      </c>
      <c r="M44" t="s">
        <v>35</v>
      </c>
      <c r="N44" t="s">
        <v>39</v>
      </c>
      <c r="O44">
        <v>6</v>
      </c>
      <c r="P44">
        <v>2.8</v>
      </c>
      <c r="Q44">
        <v>54.095999999999997</v>
      </c>
    </row>
    <row r="45" spans="1:17" x14ac:dyDescent="0.25">
      <c r="A45">
        <v>1044</v>
      </c>
      <c r="B45" s="3">
        <v>44970</v>
      </c>
      <c r="C45" s="3" t="str">
        <f>TEXT(Fruits_Vendor[[#This Row],[Order_Date]],"mmmm")</f>
        <v>February</v>
      </c>
      <c r="D45" s="3" t="str">
        <f>TEXT(Fruits_Vendor[[#This Row],[Order_Date]],"yyyy")</f>
        <v>2023</v>
      </c>
      <c r="E45">
        <v>2475</v>
      </c>
      <c r="F45" t="s">
        <v>17</v>
      </c>
      <c r="G45" t="s">
        <v>23</v>
      </c>
      <c r="H45" t="s">
        <v>29</v>
      </c>
      <c r="I45" t="s">
        <v>33</v>
      </c>
      <c r="J45">
        <v>22</v>
      </c>
      <c r="K45">
        <v>4.78</v>
      </c>
      <c r="L45">
        <v>0.11</v>
      </c>
      <c r="M45" t="s">
        <v>34</v>
      </c>
      <c r="N45" t="s">
        <v>40</v>
      </c>
      <c r="O45">
        <v>6</v>
      </c>
      <c r="P45">
        <v>4.5</v>
      </c>
      <c r="Q45">
        <v>93.592400000000012</v>
      </c>
    </row>
    <row r="46" spans="1:17" x14ac:dyDescent="0.25">
      <c r="A46">
        <v>1045</v>
      </c>
      <c r="B46" s="3">
        <v>44971</v>
      </c>
      <c r="C46" s="3" t="str">
        <f>TEXT(Fruits_Vendor[[#This Row],[Order_Date]],"mmmm")</f>
        <v>February</v>
      </c>
      <c r="D46" s="3" t="str">
        <f>TEXT(Fruits_Vendor[[#This Row],[Order_Date]],"yyyy")</f>
        <v>2023</v>
      </c>
      <c r="E46">
        <v>2699</v>
      </c>
      <c r="F46" t="s">
        <v>18</v>
      </c>
      <c r="G46" t="s">
        <v>20</v>
      </c>
      <c r="H46" t="s">
        <v>27</v>
      </c>
      <c r="I46" t="s">
        <v>31</v>
      </c>
      <c r="J46">
        <v>11</v>
      </c>
      <c r="K46">
        <v>4.3099999999999996</v>
      </c>
      <c r="L46">
        <v>0.1</v>
      </c>
      <c r="M46" t="s">
        <v>36</v>
      </c>
      <c r="N46" t="s">
        <v>40</v>
      </c>
      <c r="O46">
        <v>4</v>
      </c>
      <c r="P46">
        <v>4.5</v>
      </c>
      <c r="Q46">
        <v>42.668999999999997</v>
      </c>
    </row>
    <row r="47" spans="1:17" x14ac:dyDescent="0.25">
      <c r="A47">
        <v>1046</v>
      </c>
      <c r="B47" s="3">
        <v>44972</v>
      </c>
      <c r="C47" s="3" t="str">
        <f>TEXT(Fruits_Vendor[[#This Row],[Order_Date]],"mmmm")</f>
        <v>February</v>
      </c>
      <c r="D47" s="3" t="str">
        <f>TEXT(Fruits_Vendor[[#This Row],[Order_Date]],"yyyy")</f>
        <v>2023</v>
      </c>
      <c r="E47">
        <v>2975</v>
      </c>
      <c r="F47" t="s">
        <v>16</v>
      </c>
      <c r="G47" t="s">
        <v>24</v>
      </c>
      <c r="H47" t="s">
        <v>29</v>
      </c>
      <c r="I47" t="s">
        <v>33</v>
      </c>
      <c r="J47">
        <v>27</v>
      </c>
      <c r="K47">
        <v>4.6100000000000003</v>
      </c>
      <c r="L47">
        <v>0.17</v>
      </c>
      <c r="M47" t="s">
        <v>36</v>
      </c>
      <c r="N47" t="s">
        <v>39</v>
      </c>
      <c r="O47">
        <v>1</v>
      </c>
      <c r="P47">
        <v>4</v>
      </c>
      <c r="Q47">
        <v>103.31010000000001</v>
      </c>
    </row>
    <row r="48" spans="1:17" x14ac:dyDescent="0.25">
      <c r="A48">
        <v>1047</v>
      </c>
      <c r="B48" s="3">
        <v>44973</v>
      </c>
      <c r="C48" s="3" t="str">
        <f>TEXT(Fruits_Vendor[[#This Row],[Order_Date]],"mmmm")</f>
        <v>February</v>
      </c>
      <c r="D48" s="3" t="str">
        <f>TEXT(Fruits_Vendor[[#This Row],[Order_Date]],"yyyy")</f>
        <v>2023</v>
      </c>
      <c r="E48">
        <v>2782</v>
      </c>
      <c r="F48" t="s">
        <v>16</v>
      </c>
      <c r="G48" t="s">
        <v>21</v>
      </c>
      <c r="H48" t="s">
        <v>30</v>
      </c>
      <c r="I48" t="s">
        <v>31</v>
      </c>
      <c r="J48">
        <v>3</v>
      </c>
      <c r="K48">
        <v>4.16</v>
      </c>
      <c r="L48">
        <v>0.17</v>
      </c>
      <c r="M48" t="s">
        <v>36</v>
      </c>
      <c r="N48" t="s">
        <v>39</v>
      </c>
      <c r="O48">
        <v>1</v>
      </c>
      <c r="P48">
        <v>5</v>
      </c>
      <c r="Q48">
        <v>10.3584</v>
      </c>
    </row>
    <row r="49" spans="1:17" x14ac:dyDescent="0.25">
      <c r="A49">
        <v>1048</v>
      </c>
      <c r="B49" s="3">
        <v>44974</v>
      </c>
      <c r="C49" s="3" t="str">
        <f>TEXT(Fruits_Vendor[[#This Row],[Order_Date]],"mmmm")</f>
        <v>February</v>
      </c>
      <c r="D49" s="3" t="str">
        <f>TEXT(Fruits_Vendor[[#This Row],[Order_Date]],"yyyy")</f>
        <v>2023</v>
      </c>
      <c r="E49">
        <v>2189</v>
      </c>
      <c r="F49" t="s">
        <v>17</v>
      </c>
      <c r="G49" t="s">
        <v>24</v>
      </c>
      <c r="H49" t="s">
        <v>26</v>
      </c>
      <c r="I49" t="s">
        <v>33</v>
      </c>
      <c r="J49">
        <v>17</v>
      </c>
      <c r="K49">
        <v>0.99</v>
      </c>
      <c r="L49">
        <v>0.17</v>
      </c>
      <c r="M49" t="s">
        <v>37</v>
      </c>
      <c r="N49" t="s">
        <v>40</v>
      </c>
      <c r="O49">
        <v>6</v>
      </c>
      <c r="P49">
        <v>3.3</v>
      </c>
      <c r="Q49">
        <v>13.9689</v>
      </c>
    </row>
    <row r="50" spans="1:17" x14ac:dyDescent="0.25">
      <c r="A50">
        <v>1049</v>
      </c>
      <c r="B50" s="3">
        <v>44975</v>
      </c>
      <c r="C50" s="3" t="str">
        <f>TEXT(Fruits_Vendor[[#This Row],[Order_Date]],"mmmm")</f>
        <v>February</v>
      </c>
      <c r="D50" s="3" t="str">
        <f>TEXT(Fruits_Vendor[[#This Row],[Order_Date]],"yyyy")</f>
        <v>2023</v>
      </c>
      <c r="E50">
        <v>2957</v>
      </c>
      <c r="F50" t="s">
        <v>15</v>
      </c>
      <c r="G50" t="s">
        <v>22</v>
      </c>
      <c r="H50" t="s">
        <v>26</v>
      </c>
      <c r="I50" t="s">
        <v>32</v>
      </c>
      <c r="J50">
        <v>44</v>
      </c>
      <c r="K50">
        <v>1.17</v>
      </c>
      <c r="L50">
        <v>0</v>
      </c>
      <c r="M50" t="s">
        <v>36</v>
      </c>
      <c r="N50" t="s">
        <v>40</v>
      </c>
      <c r="O50">
        <v>2</v>
      </c>
      <c r="P50">
        <v>4.9000000000000004</v>
      </c>
      <c r="Q50">
        <v>51.48</v>
      </c>
    </row>
    <row r="51" spans="1:17" x14ac:dyDescent="0.25">
      <c r="A51">
        <v>1050</v>
      </c>
      <c r="B51" s="3">
        <v>44976</v>
      </c>
      <c r="C51" s="3" t="str">
        <f>TEXT(Fruits_Vendor[[#This Row],[Order_Date]],"mmmm")</f>
        <v>February</v>
      </c>
      <c r="D51" s="3" t="str">
        <f>TEXT(Fruits_Vendor[[#This Row],[Order_Date]],"yyyy")</f>
        <v>2023</v>
      </c>
      <c r="E51">
        <v>2686</v>
      </c>
      <c r="F51" t="s">
        <v>17</v>
      </c>
      <c r="G51" t="s">
        <v>24</v>
      </c>
      <c r="H51" t="s">
        <v>25</v>
      </c>
      <c r="I51" t="s">
        <v>31</v>
      </c>
      <c r="J51">
        <v>28</v>
      </c>
      <c r="K51">
        <v>2.87</v>
      </c>
      <c r="L51">
        <v>0.15</v>
      </c>
      <c r="M51" t="s">
        <v>37</v>
      </c>
      <c r="N51" t="s">
        <v>39</v>
      </c>
      <c r="O51">
        <v>2</v>
      </c>
      <c r="P51">
        <v>4.8</v>
      </c>
      <c r="Q51">
        <v>68.305999999999997</v>
      </c>
    </row>
    <row r="52" spans="1:17" x14ac:dyDescent="0.25">
      <c r="A52">
        <v>1051</v>
      </c>
      <c r="B52" s="3">
        <v>44977</v>
      </c>
      <c r="C52" s="3" t="str">
        <f>TEXT(Fruits_Vendor[[#This Row],[Order_Date]],"mmmm")</f>
        <v>February</v>
      </c>
      <c r="D52" s="3" t="str">
        <f>TEXT(Fruits_Vendor[[#This Row],[Order_Date]],"yyyy")</f>
        <v>2023</v>
      </c>
      <c r="E52">
        <v>2957</v>
      </c>
      <c r="F52" t="s">
        <v>15</v>
      </c>
      <c r="G52" t="s">
        <v>24</v>
      </c>
      <c r="H52" t="s">
        <v>26</v>
      </c>
      <c r="I52" t="s">
        <v>31</v>
      </c>
      <c r="J52">
        <v>29</v>
      </c>
      <c r="K52">
        <v>1.61</v>
      </c>
      <c r="L52">
        <v>0.15</v>
      </c>
      <c r="M52" t="s">
        <v>37</v>
      </c>
      <c r="N52" t="s">
        <v>38</v>
      </c>
      <c r="O52">
        <v>1</v>
      </c>
      <c r="P52">
        <v>2.5</v>
      </c>
      <c r="Q52">
        <v>39.686500000000002</v>
      </c>
    </row>
    <row r="53" spans="1:17" x14ac:dyDescent="0.25">
      <c r="A53">
        <v>1052</v>
      </c>
      <c r="B53" s="3">
        <v>44978</v>
      </c>
      <c r="C53" s="3" t="str">
        <f>TEXT(Fruits_Vendor[[#This Row],[Order_Date]],"mmmm")</f>
        <v>February</v>
      </c>
      <c r="D53" s="3" t="str">
        <f>TEXT(Fruits_Vendor[[#This Row],[Order_Date]],"yyyy")</f>
        <v>2023</v>
      </c>
      <c r="E53">
        <v>2562</v>
      </c>
      <c r="F53" t="s">
        <v>18</v>
      </c>
      <c r="G53" t="s">
        <v>20</v>
      </c>
      <c r="H53" t="s">
        <v>28</v>
      </c>
      <c r="I53" t="s">
        <v>33</v>
      </c>
      <c r="J53">
        <v>21</v>
      </c>
      <c r="K53">
        <v>2.65</v>
      </c>
      <c r="L53">
        <v>0.14000000000000001</v>
      </c>
      <c r="M53" t="s">
        <v>35</v>
      </c>
      <c r="N53" t="s">
        <v>40</v>
      </c>
      <c r="O53">
        <v>2</v>
      </c>
      <c r="P53">
        <v>3.6</v>
      </c>
      <c r="Q53">
        <v>47.858999999999988</v>
      </c>
    </row>
    <row r="54" spans="1:17" x14ac:dyDescent="0.25">
      <c r="A54">
        <v>1053</v>
      </c>
      <c r="B54" s="3">
        <v>44979</v>
      </c>
      <c r="C54" s="3" t="str">
        <f>TEXT(Fruits_Vendor[[#This Row],[Order_Date]],"mmmm")</f>
        <v>February</v>
      </c>
      <c r="D54" s="3" t="str">
        <f>TEXT(Fruits_Vendor[[#This Row],[Order_Date]],"yyyy")</f>
        <v>2023</v>
      </c>
      <c r="E54">
        <v>2875</v>
      </c>
      <c r="F54" t="s">
        <v>16</v>
      </c>
      <c r="G54" t="s">
        <v>20</v>
      </c>
      <c r="H54" t="s">
        <v>27</v>
      </c>
      <c r="I54" t="s">
        <v>33</v>
      </c>
      <c r="J54">
        <v>47</v>
      </c>
      <c r="K54">
        <v>2.27</v>
      </c>
      <c r="L54">
        <v>0.15</v>
      </c>
      <c r="M54" t="s">
        <v>36</v>
      </c>
      <c r="N54" t="s">
        <v>39</v>
      </c>
      <c r="O54">
        <v>5</v>
      </c>
      <c r="P54">
        <v>4.9000000000000004</v>
      </c>
      <c r="Q54">
        <v>90.686499999999995</v>
      </c>
    </row>
    <row r="55" spans="1:17" x14ac:dyDescent="0.25">
      <c r="A55">
        <v>1054</v>
      </c>
      <c r="B55" s="3">
        <v>44980</v>
      </c>
      <c r="C55" s="3" t="str">
        <f>TEXT(Fruits_Vendor[[#This Row],[Order_Date]],"mmmm")</f>
        <v>February</v>
      </c>
      <c r="D55" s="3" t="str">
        <f>TEXT(Fruits_Vendor[[#This Row],[Order_Date]],"yyyy")</f>
        <v>2023</v>
      </c>
      <c r="E55">
        <v>2566</v>
      </c>
      <c r="F55" t="s">
        <v>18</v>
      </c>
      <c r="G55" t="s">
        <v>20</v>
      </c>
      <c r="H55" t="s">
        <v>25</v>
      </c>
      <c r="I55" t="s">
        <v>31</v>
      </c>
      <c r="J55">
        <v>16</v>
      </c>
      <c r="K55">
        <v>2.97</v>
      </c>
      <c r="L55">
        <v>0.17</v>
      </c>
      <c r="M55" t="s">
        <v>36</v>
      </c>
      <c r="N55" t="s">
        <v>39</v>
      </c>
      <c r="O55">
        <v>4</v>
      </c>
      <c r="P55">
        <v>2.8</v>
      </c>
      <c r="Q55">
        <v>39.441600000000001</v>
      </c>
    </row>
    <row r="56" spans="1:17" x14ac:dyDescent="0.25">
      <c r="A56">
        <v>1055</v>
      </c>
      <c r="B56" s="3">
        <v>44981</v>
      </c>
      <c r="C56" s="3" t="str">
        <f>TEXT(Fruits_Vendor[[#This Row],[Order_Date]],"mmmm")</f>
        <v>February</v>
      </c>
      <c r="D56" s="3" t="str">
        <f>TEXT(Fruits_Vendor[[#This Row],[Order_Date]],"yyyy")</f>
        <v>2023</v>
      </c>
      <c r="E56">
        <v>2243</v>
      </c>
      <c r="F56" t="s">
        <v>15</v>
      </c>
      <c r="G56" t="s">
        <v>23</v>
      </c>
      <c r="H56" t="s">
        <v>28</v>
      </c>
      <c r="I56" t="s">
        <v>33</v>
      </c>
      <c r="J56">
        <v>37</v>
      </c>
      <c r="K56">
        <v>3.86</v>
      </c>
      <c r="L56">
        <v>0.09</v>
      </c>
      <c r="M56" t="s">
        <v>34</v>
      </c>
      <c r="N56" t="s">
        <v>39</v>
      </c>
      <c r="O56">
        <v>4</v>
      </c>
      <c r="P56">
        <v>3.9</v>
      </c>
      <c r="Q56">
        <v>129.96619999999999</v>
      </c>
    </row>
    <row r="57" spans="1:17" x14ac:dyDescent="0.25">
      <c r="A57">
        <v>1056</v>
      </c>
      <c r="B57" s="3">
        <v>44982</v>
      </c>
      <c r="C57" s="3" t="str">
        <f>TEXT(Fruits_Vendor[[#This Row],[Order_Date]],"mmmm")</f>
        <v>February</v>
      </c>
      <c r="D57" s="3" t="str">
        <f>TEXT(Fruits_Vendor[[#This Row],[Order_Date]],"yyyy")</f>
        <v>2023</v>
      </c>
      <c r="E57">
        <v>2831</v>
      </c>
      <c r="F57" t="s">
        <v>15</v>
      </c>
      <c r="G57" t="s">
        <v>22</v>
      </c>
      <c r="H57" t="s">
        <v>28</v>
      </c>
      <c r="I57" t="s">
        <v>33</v>
      </c>
      <c r="J57">
        <v>20</v>
      </c>
      <c r="K57">
        <v>3.72</v>
      </c>
      <c r="L57">
        <v>0.1</v>
      </c>
      <c r="M57" t="s">
        <v>35</v>
      </c>
      <c r="N57" t="s">
        <v>39</v>
      </c>
      <c r="O57">
        <v>1</v>
      </c>
      <c r="P57">
        <v>4.9000000000000004</v>
      </c>
      <c r="Q57">
        <v>66.960000000000008</v>
      </c>
    </row>
    <row r="58" spans="1:17" x14ac:dyDescent="0.25">
      <c r="A58">
        <v>1057</v>
      </c>
      <c r="B58" s="3">
        <v>44983</v>
      </c>
      <c r="C58" s="3" t="str">
        <f>TEXT(Fruits_Vendor[[#This Row],[Order_Date]],"mmmm")</f>
        <v>February</v>
      </c>
      <c r="D58" s="3" t="str">
        <f>TEXT(Fruits_Vendor[[#This Row],[Order_Date]],"yyyy")</f>
        <v>2023</v>
      </c>
      <c r="E58">
        <v>2504</v>
      </c>
      <c r="F58" t="s">
        <v>18</v>
      </c>
      <c r="G58" t="s">
        <v>20</v>
      </c>
      <c r="H58" t="s">
        <v>29</v>
      </c>
      <c r="I58" t="s">
        <v>33</v>
      </c>
      <c r="J58">
        <v>6</v>
      </c>
      <c r="K58">
        <v>2.85</v>
      </c>
      <c r="L58">
        <v>0.02</v>
      </c>
      <c r="M58" t="s">
        <v>34</v>
      </c>
      <c r="N58" t="s">
        <v>38</v>
      </c>
      <c r="O58">
        <v>3</v>
      </c>
      <c r="P58">
        <v>3.9</v>
      </c>
      <c r="Q58">
        <v>16.757999999999999</v>
      </c>
    </row>
    <row r="59" spans="1:17" x14ac:dyDescent="0.25">
      <c r="A59">
        <v>1058</v>
      </c>
      <c r="B59" s="3">
        <v>44984</v>
      </c>
      <c r="C59" s="3" t="str">
        <f>TEXT(Fruits_Vendor[[#This Row],[Order_Date]],"mmmm")</f>
        <v>February</v>
      </c>
      <c r="D59" s="3" t="str">
        <f>TEXT(Fruits_Vendor[[#This Row],[Order_Date]],"yyyy")</f>
        <v>2023</v>
      </c>
      <c r="E59">
        <v>2130</v>
      </c>
      <c r="F59" t="s">
        <v>15</v>
      </c>
      <c r="G59" t="s">
        <v>21</v>
      </c>
      <c r="H59" t="s">
        <v>26</v>
      </c>
      <c r="I59" t="s">
        <v>32</v>
      </c>
      <c r="J59">
        <v>19</v>
      </c>
      <c r="K59">
        <v>4.2</v>
      </c>
      <c r="L59">
        <v>0.08</v>
      </c>
      <c r="M59" t="s">
        <v>35</v>
      </c>
      <c r="N59" t="s">
        <v>39</v>
      </c>
      <c r="O59">
        <v>6</v>
      </c>
      <c r="P59">
        <v>3</v>
      </c>
      <c r="Q59">
        <v>73.415999999999997</v>
      </c>
    </row>
    <row r="60" spans="1:17" x14ac:dyDescent="0.25">
      <c r="A60">
        <v>1059</v>
      </c>
      <c r="B60" s="3">
        <v>44985</v>
      </c>
      <c r="C60" s="3" t="str">
        <f>TEXT(Fruits_Vendor[[#This Row],[Order_Date]],"mmmm")</f>
        <v>February</v>
      </c>
      <c r="D60" s="3" t="str">
        <f>TEXT(Fruits_Vendor[[#This Row],[Order_Date]],"yyyy")</f>
        <v>2023</v>
      </c>
      <c r="E60">
        <v>2484</v>
      </c>
      <c r="F60" t="s">
        <v>18</v>
      </c>
      <c r="G60" t="s">
        <v>23</v>
      </c>
      <c r="H60" t="s">
        <v>30</v>
      </c>
      <c r="I60" t="s">
        <v>32</v>
      </c>
      <c r="J60">
        <v>5</v>
      </c>
      <c r="K60">
        <v>2.44</v>
      </c>
      <c r="L60">
        <v>0.13</v>
      </c>
      <c r="M60" t="s">
        <v>36</v>
      </c>
      <c r="N60" t="s">
        <v>40</v>
      </c>
      <c r="O60">
        <v>1</v>
      </c>
      <c r="P60">
        <v>4</v>
      </c>
      <c r="Q60">
        <v>10.614000000000001</v>
      </c>
    </row>
    <row r="61" spans="1:17" x14ac:dyDescent="0.25">
      <c r="A61">
        <v>1060</v>
      </c>
      <c r="B61" s="3">
        <v>44986</v>
      </c>
      <c r="C61" s="3" t="str">
        <f>TEXT(Fruits_Vendor[[#This Row],[Order_Date]],"mmmm")</f>
        <v>March</v>
      </c>
      <c r="D61" s="3" t="str">
        <f>TEXT(Fruits_Vendor[[#This Row],[Order_Date]],"yyyy")</f>
        <v>2023</v>
      </c>
      <c r="E61">
        <v>2818</v>
      </c>
      <c r="F61" t="s">
        <v>16</v>
      </c>
      <c r="G61" t="s">
        <v>19</v>
      </c>
      <c r="H61" t="s">
        <v>30</v>
      </c>
      <c r="I61" t="s">
        <v>33</v>
      </c>
      <c r="J61">
        <v>3</v>
      </c>
      <c r="K61">
        <v>4.54</v>
      </c>
      <c r="L61">
        <v>0.16</v>
      </c>
      <c r="M61" t="s">
        <v>37</v>
      </c>
      <c r="N61" t="s">
        <v>38</v>
      </c>
      <c r="O61">
        <v>2</v>
      </c>
      <c r="P61">
        <v>3</v>
      </c>
      <c r="Q61">
        <v>11.440799999999999</v>
      </c>
    </row>
    <row r="62" spans="1:17" x14ac:dyDescent="0.25">
      <c r="A62">
        <v>1061</v>
      </c>
      <c r="B62" s="3">
        <v>44987</v>
      </c>
      <c r="C62" s="3" t="str">
        <f>TEXT(Fruits_Vendor[[#This Row],[Order_Date]],"mmmm")</f>
        <v>March</v>
      </c>
      <c r="D62" s="3" t="str">
        <f>TEXT(Fruits_Vendor[[#This Row],[Order_Date]],"yyyy")</f>
        <v>2023</v>
      </c>
      <c r="E62">
        <v>2646</v>
      </c>
      <c r="F62" t="s">
        <v>18</v>
      </c>
      <c r="G62" t="s">
        <v>21</v>
      </c>
      <c r="H62" t="s">
        <v>25</v>
      </c>
      <c r="I62" t="s">
        <v>33</v>
      </c>
      <c r="J62">
        <v>1</v>
      </c>
      <c r="K62">
        <v>0.82</v>
      </c>
      <c r="L62">
        <v>0.04</v>
      </c>
      <c r="M62" t="s">
        <v>37</v>
      </c>
      <c r="N62" t="s">
        <v>39</v>
      </c>
      <c r="O62">
        <v>6</v>
      </c>
      <c r="P62">
        <v>3.8</v>
      </c>
      <c r="Q62">
        <v>0.7871999999999999</v>
      </c>
    </row>
    <row r="63" spans="1:17" x14ac:dyDescent="0.25">
      <c r="A63">
        <v>1062</v>
      </c>
      <c r="B63" s="3">
        <v>44988</v>
      </c>
      <c r="C63" s="3" t="str">
        <f>TEXT(Fruits_Vendor[[#This Row],[Order_Date]],"mmmm")</f>
        <v>March</v>
      </c>
      <c r="D63" s="3" t="str">
        <f>TEXT(Fruits_Vendor[[#This Row],[Order_Date]],"yyyy")</f>
        <v>2023</v>
      </c>
      <c r="E63">
        <v>2020</v>
      </c>
      <c r="F63" t="s">
        <v>16</v>
      </c>
      <c r="G63" t="s">
        <v>21</v>
      </c>
      <c r="H63" t="s">
        <v>30</v>
      </c>
      <c r="I63" t="s">
        <v>32</v>
      </c>
      <c r="J63">
        <v>38</v>
      </c>
      <c r="K63">
        <v>4.8</v>
      </c>
      <c r="L63">
        <v>0.03</v>
      </c>
      <c r="M63" t="s">
        <v>37</v>
      </c>
      <c r="N63" t="s">
        <v>38</v>
      </c>
      <c r="O63">
        <v>3</v>
      </c>
      <c r="P63">
        <v>2.7</v>
      </c>
      <c r="Q63">
        <v>176.928</v>
      </c>
    </row>
    <row r="64" spans="1:17" x14ac:dyDescent="0.25">
      <c r="A64">
        <v>1063</v>
      </c>
      <c r="B64" s="3">
        <v>44989</v>
      </c>
      <c r="C64" s="3" t="str">
        <f>TEXT(Fruits_Vendor[[#This Row],[Order_Date]],"mmmm")</f>
        <v>March</v>
      </c>
      <c r="D64" s="3" t="str">
        <f>TEXT(Fruits_Vendor[[#This Row],[Order_Date]],"yyyy")</f>
        <v>2023</v>
      </c>
      <c r="E64">
        <v>2840</v>
      </c>
      <c r="F64" t="s">
        <v>18</v>
      </c>
      <c r="G64" t="s">
        <v>20</v>
      </c>
      <c r="H64" t="s">
        <v>27</v>
      </c>
      <c r="I64" t="s">
        <v>32</v>
      </c>
      <c r="J64">
        <v>15</v>
      </c>
      <c r="K64">
        <v>3.45</v>
      </c>
      <c r="L64">
        <v>0.13</v>
      </c>
      <c r="M64" t="s">
        <v>37</v>
      </c>
      <c r="N64" t="s">
        <v>40</v>
      </c>
      <c r="O64">
        <v>2</v>
      </c>
      <c r="P64">
        <v>4</v>
      </c>
      <c r="Q64">
        <v>45.022500000000001</v>
      </c>
    </row>
    <row r="65" spans="1:17" x14ac:dyDescent="0.25">
      <c r="A65">
        <v>1064</v>
      </c>
      <c r="B65" s="3">
        <v>44990</v>
      </c>
      <c r="C65" s="3" t="str">
        <f>TEXT(Fruits_Vendor[[#This Row],[Order_Date]],"mmmm")</f>
        <v>March</v>
      </c>
      <c r="D65" s="3" t="str">
        <f>TEXT(Fruits_Vendor[[#This Row],[Order_Date]],"yyyy")</f>
        <v>2023</v>
      </c>
      <c r="E65">
        <v>2166</v>
      </c>
      <c r="F65" t="s">
        <v>15</v>
      </c>
      <c r="G65" t="s">
        <v>19</v>
      </c>
      <c r="H65" t="s">
        <v>30</v>
      </c>
      <c r="I65" t="s">
        <v>31</v>
      </c>
      <c r="J65">
        <v>34</v>
      </c>
      <c r="K65">
        <v>2.21</v>
      </c>
      <c r="L65">
        <v>0</v>
      </c>
      <c r="M65" t="s">
        <v>37</v>
      </c>
      <c r="N65" t="s">
        <v>39</v>
      </c>
      <c r="O65">
        <v>5</v>
      </c>
      <c r="P65">
        <v>3.8</v>
      </c>
      <c r="Q65">
        <v>75.14</v>
      </c>
    </row>
    <row r="66" spans="1:17" x14ac:dyDescent="0.25">
      <c r="A66">
        <v>1065</v>
      </c>
      <c r="B66" s="3">
        <v>44991</v>
      </c>
      <c r="C66" s="3" t="str">
        <f>TEXT(Fruits_Vendor[[#This Row],[Order_Date]],"mmmm")</f>
        <v>March</v>
      </c>
      <c r="D66" s="3" t="str">
        <f>TEXT(Fruits_Vendor[[#This Row],[Order_Date]],"yyyy")</f>
        <v>2023</v>
      </c>
      <c r="E66">
        <v>2273</v>
      </c>
      <c r="F66" t="s">
        <v>18</v>
      </c>
      <c r="G66" t="s">
        <v>19</v>
      </c>
      <c r="H66" t="s">
        <v>25</v>
      </c>
      <c r="I66" t="s">
        <v>31</v>
      </c>
      <c r="J66">
        <v>35</v>
      </c>
      <c r="K66">
        <v>1.39</v>
      </c>
      <c r="L66">
        <v>0.04</v>
      </c>
      <c r="M66" t="s">
        <v>34</v>
      </c>
      <c r="N66" t="s">
        <v>40</v>
      </c>
      <c r="O66">
        <v>2</v>
      </c>
      <c r="P66">
        <v>4.4000000000000004</v>
      </c>
      <c r="Q66">
        <v>46.703999999999994</v>
      </c>
    </row>
    <row r="67" spans="1:17" x14ac:dyDescent="0.25">
      <c r="A67">
        <v>1066</v>
      </c>
      <c r="B67" s="3">
        <v>44992</v>
      </c>
      <c r="C67" s="3" t="str">
        <f>TEXT(Fruits_Vendor[[#This Row],[Order_Date]],"mmmm")</f>
        <v>March</v>
      </c>
      <c r="D67" s="3" t="str">
        <f>TEXT(Fruits_Vendor[[#This Row],[Order_Date]],"yyyy")</f>
        <v>2023</v>
      </c>
      <c r="E67">
        <v>2387</v>
      </c>
      <c r="F67" t="s">
        <v>15</v>
      </c>
      <c r="G67" t="s">
        <v>23</v>
      </c>
      <c r="H67" t="s">
        <v>30</v>
      </c>
      <c r="I67" t="s">
        <v>32</v>
      </c>
      <c r="J67">
        <v>49</v>
      </c>
      <c r="K67">
        <v>2.66</v>
      </c>
      <c r="L67">
        <v>0.01</v>
      </c>
      <c r="M67" t="s">
        <v>35</v>
      </c>
      <c r="N67" t="s">
        <v>39</v>
      </c>
      <c r="O67">
        <v>5</v>
      </c>
      <c r="P67">
        <v>4.0999999999999996</v>
      </c>
      <c r="Q67">
        <v>129.03659999999999</v>
      </c>
    </row>
    <row r="68" spans="1:17" x14ac:dyDescent="0.25">
      <c r="A68">
        <v>1067</v>
      </c>
      <c r="B68" s="3">
        <v>44993</v>
      </c>
      <c r="C68" s="3" t="str">
        <f>TEXT(Fruits_Vendor[[#This Row],[Order_Date]],"mmmm")</f>
        <v>March</v>
      </c>
      <c r="D68" s="3" t="str">
        <f>TEXT(Fruits_Vendor[[#This Row],[Order_Date]],"yyyy")</f>
        <v>2023</v>
      </c>
      <c r="E68">
        <v>2600</v>
      </c>
      <c r="F68" t="s">
        <v>18</v>
      </c>
      <c r="G68" t="s">
        <v>19</v>
      </c>
      <c r="H68" t="s">
        <v>27</v>
      </c>
      <c r="I68" t="s">
        <v>33</v>
      </c>
      <c r="J68">
        <v>25</v>
      </c>
      <c r="K68">
        <v>1.38</v>
      </c>
      <c r="L68">
        <v>0.03</v>
      </c>
      <c r="M68" t="s">
        <v>36</v>
      </c>
      <c r="N68" t="s">
        <v>39</v>
      </c>
      <c r="O68">
        <v>6</v>
      </c>
      <c r="P68">
        <v>3.9</v>
      </c>
      <c r="Q68">
        <v>33.465000000000003</v>
      </c>
    </row>
    <row r="69" spans="1:17" x14ac:dyDescent="0.25">
      <c r="A69">
        <v>1068</v>
      </c>
      <c r="B69" s="3">
        <v>44994</v>
      </c>
      <c r="C69" s="3" t="str">
        <f>TEXT(Fruits_Vendor[[#This Row],[Order_Date]],"mmmm")</f>
        <v>March</v>
      </c>
      <c r="D69" s="3" t="str">
        <f>TEXT(Fruits_Vendor[[#This Row],[Order_Date]],"yyyy")</f>
        <v>2023</v>
      </c>
      <c r="E69">
        <v>2315</v>
      </c>
      <c r="F69" t="s">
        <v>18</v>
      </c>
      <c r="G69" t="s">
        <v>22</v>
      </c>
      <c r="H69" t="s">
        <v>29</v>
      </c>
      <c r="I69" t="s">
        <v>33</v>
      </c>
      <c r="J69">
        <v>24</v>
      </c>
      <c r="K69">
        <v>1.25</v>
      </c>
      <c r="L69">
        <v>0.04</v>
      </c>
      <c r="M69" t="s">
        <v>34</v>
      </c>
      <c r="N69" t="s">
        <v>39</v>
      </c>
      <c r="O69">
        <v>5</v>
      </c>
      <c r="P69">
        <v>4.2</v>
      </c>
      <c r="Q69">
        <v>28.8</v>
      </c>
    </row>
    <row r="70" spans="1:17" x14ac:dyDescent="0.25">
      <c r="A70">
        <v>1069</v>
      </c>
      <c r="B70" s="3">
        <v>44995</v>
      </c>
      <c r="C70" s="3" t="str">
        <f>TEXT(Fruits_Vendor[[#This Row],[Order_Date]],"mmmm")</f>
        <v>March</v>
      </c>
      <c r="D70" s="3" t="str">
        <f>TEXT(Fruits_Vendor[[#This Row],[Order_Date]],"yyyy")</f>
        <v>2023</v>
      </c>
      <c r="E70">
        <v>2013</v>
      </c>
      <c r="F70" t="s">
        <v>17</v>
      </c>
      <c r="G70" t="s">
        <v>20</v>
      </c>
      <c r="H70" t="s">
        <v>25</v>
      </c>
      <c r="I70" t="s">
        <v>33</v>
      </c>
      <c r="J70">
        <v>12</v>
      </c>
      <c r="K70">
        <v>3.28</v>
      </c>
      <c r="L70">
        <v>0.08</v>
      </c>
      <c r="M70" t="s">
        <v>35</v>
      </c>
      <c r="N70" t="s">
        <v>39</v>
      </c>
      <c r="O70">
        <v>6</v>
      </c>
      <c r="P70">
        <v>2.9</v>
      </c>
      <c r="Q70">
        <v>36.211199999999998</v>
      </c>
    </row>
    <row r="71" spans="1:17" x14ac:dyDescent="0.25">
      <c r="A71">
        <v>1070</v>
      </c>
      <c r="B71" s="3">
        <v>44996</v>
      </c>
      <c r="C71" s="3" t="str">
        <f>TEXT(Fruits_Vendor[[#This Row],[Order_Date]],"mmmm")</f>
        <v>March</v>
      </c>
      <c r="D71" s="3" t="str">
        <f>TEXT(Fruits_Vendor[[#This Row],[Order_Date]],"yyyy")</f>
        <v>2023</v>
      </c>
      <c r="E71">
        <v>2241</v>
      </c>
      <c r="F71" t="s">
        <v>15</v>
      </c>
      <c r="G71" t="s">
        <v>19</v>
      </c>
      <c r="H71" t="s">
        <v>29</v>
      </c>
      <c r="I71" t="s">
        <v>33</v>
      </c>
      <c r="J71">
        <v>18</v>
      </c>
      <c r="K71">
        <v>2.85</v>
      </c>
      <c r="L71">
        <v>0.08</v>
      </c>
      <c r="M71" t="s">
        <v>37</v>
      </c>
      <c r="N71" t="s">
        <v>39</v>
      </c>
      <c r="O71">
        <v>6</v>
      </c>
      <c r="P71">
        <v>4</v>
      </c>
      <c r="Q71">
        <v>47.196000000000012</v>
      </c>
    </row>
    <row r="72" spans="1:17" x14ac:dyDescent="0.25">
      <c r="A72">
        <v>1071</v>
      </c>
      <c r="B72" s="3">
        <v>44997</v>
      </c>
      <c r="C72" s="3" t="str">
        <f>TEXT(Fruits_Vendor[[#This Row],[Order_Date]],"mmmm")</f>
        <v>March</v>
      </c>
      <c r="D72" s="3" t="str">
        <f>TEXT(Fruits_Vendor[[#This Row],[Order_Date]],"yyyy")</f>
        <v>2023</v>
      </c>
      <c r="E72">
        <v>2776</v>
      </c>
      <c r="F72" t="s">
        <v>17</v>
      </c>
      <c r="G72" t="s">
        <v>23</v>
      </c>
      <c r="H72" t="s">
        <v>29</v>
      </c>
      <c r="I72" t="s">
        <v>31</v>
      </c>
      <c r="J72">
        <v>15</v>
      </c>
      <c r="K72">
        <v>3.52</v>
      </c>
      <c r="L72">
        <v>0.17</v>
      </c>
      <c r="M72" t="s">
        <v>35</v>
      </c>
      <c r="N72" t="s">
        <v>38</v>
      </c>
      <c r="O72">
        <v>6</v>
      </c>
      <c r="P72">
        <v>2.9</v>
      </c>
      <c r="Q72">
        <v>43.823999999999998</v>
      </c>
    </row>
    <row r="73" spans="1:17" x14ac:dyDescent="0.25">
      <c r="A73">
        <v>1072</v>
      </c>
      <c r="B73" s="3">
        <v>44998</v>
      </c>
      <c r="C73" s="3" t="str">
        <f>TEXT(Fruits_Vendor[[#This Row],[Order_Date]],"mmmm")</f>
        <v>March</v>
      </c>
      <c r="D73" s="3" t="str">
        <f>TEXT(Fruits_Vendor[[#This Row],[Order_Date]],"yyyy")</f>
        <v>2023</v>
      </c>
      <c r="E73">
        <v>2345</v>
      </c>
      <c r="F73" t="s">
        <v>15</v>
      </c>
      <c r="G73" t="s">
        <v>22</v>
      </c>
      <c r="H73" t="s">
        <v>29</v>
      </c>
      <c r="I73" t="s">
        <v>32</v>
      </c>
      <c r="J73">
        <v>44</v>
      </c>
      <c r="K73">
        <v>4.68</v>
      </c>
      <c r="L73">
        <v>0.1</v>
      </c>
      <c r="M73" t="s">
        <v>35</v>
      </c>
      <c r="N73" t="s">
        <v>39</v>
      </c>
      <c r="O73">
        <v>6</v>
      </c>
      <c r="P73">
        <v>4.8</v>
      </c>
      <c r="Q73">
        <v>185.328</v>
      </c>
    </row>
    <row r="74" spans="1:17" x14ac:dyDescent="0.25">
      <c r="A74">
        <v>1073</v>
      </c>
      <c r="B74" s="3">
        <v>44999</v>
      </c>
      <c r="C74" s="3" t="str">
        <f>TEXT(Fruits_Vendor[[#This Row],[Order_Date]],"mmmm")</f>
        <v>March</v>
      </c>
      <c r="D74" s="3" t="str">
        <f>TEXT(Fruits_Vendor[[#This Row],[Order_Date]],"yyyy")</f>
        <v>2023</v>
      </c>
      <c r="E74">
        <v>2564</v>
      </c>
      <c r="F74" t="s">
        <v>17</v>
      </c>
      <c r="G74" t="s">
        <v>24</v>
      </c>
      <c r="H74" t="s">
        <v>28</v>
      </c>
      <c r="I74" t="s">
        <v>33</v>
      </c>
      <c r="J74">
        <v>16</v>
      </c>
      <c r="K74">
        <v>2.9</v>
      </c>
      <c r="L74">
        <v>0.14000000000000001</v>
      </c>
      <c r="M74" t="s">
        <v>37</v>
      </c>
      <c r="N74" t="s">
        <v>39</v>
      </c>
      <c r="O74">
        <v>6</v>
      </c>
      <c r="P74">
        <v>2.7</v>
      </c>
      <c r="Q74">
        <v>39.904000000000003</v>
      </c>
    </row>
    <row r="75" spans="1:17" x14ac:dyDescent="0.25">
      <c r="A75">
        <v>1074</v>
      </c>
      <c r="B75" s="3">
        <v>45000</v>
      </c>
      <c r="C75" s="3" t="str">
        <f>TEXT(Fruits_Vendor[[#This Row],[Order_Date]],"mmmm")</f>
        <v>March</v>
      </c>
      <c r="D75" s="3" t="str">
        <f>TEXT(Fruits_Vendor[[#This Row],[Order_Date]],"yyyy")</f>
        <v>2023</v>
      </c>
      <c r="E75">
        <v>2897</v>
      </c>
      <c r="F75" t="s">
        <v>16</v>
      </c>
      <c r="G75" t="s">
        <v>24</v>
      </c>
      <c r="H75" t="s">
        <v>26</v>
      </c>
      <c r="I75" t="s">
        <v>31</v>
      </c>
      <c r="J75">
        <v>27</v>
      </c>
      <c r="K75">
        <v>3.11</v>
      </c>
      <c r="L75">
        <v>0.02</v>
      </c>
      <c r="M75" t="s">
        <v>37</v>
      </c>
      <c r="N75" t="s">
        <v>38</v>
      </c>
      <c r="O75">
        <v>2</v>
      </c>
      <c r="P75">
        <v>3.6</v>
      </c>
      <c r="Q75">
        <v>82.290599999999998</v>
      </c>
    </row>
    <row r="76" spans="1:17" x14ac:dyDescent="0.25">
      <c r="A76">
        <v>1075</v>
      </c>
      <c r="B76" s="3">
        <v>45001</v>
      </c>
      <c r="C76" s="3" t="str">
        <f>TEXT(Fruits_Vendor[[#This Row],[Order_Date]],"mmmm")</f>
        <v>March</v>
      </c>
      <c r="D76" s="3" t="str">
        <f>TEXT(Fruits_Vendor[[#This Row],[Order_Date]],"yyyy")</f>
        <v>2023</v>
      </c>
      <c r="E76">
        <v>2339</v>
      </c>
      <c r="F76" t="s">
        <v>18</v>
      </c>
      <c r="G76" t="s">
        <v>22</v>
      </c>
      <c r="H76" t="s">
        <v>28</v>
      </c>
      <c r="I76" t="s">
        <v>33</v>
      </c>
      <c r="J76">
        <v>8</v>
      </c>
      <c r="K76">
        <v>0.9</v>
      </c>
      <c r="L76">
        <v>0.05</v>
      </c>
      <c r="M76" t="s">
        <v>37</v>
      </c>
      <c r="N76" t="s">
        <v>38</v>
      </c>
      <c r="O76">
        <v>6</v>
      </c>
      <c r="P76">
        <v>4.2</v>
      </c>
      <c r="Q76">
        <v>6.84</v>
      </c>
    </row>
    <row r="77" spans="1:17" x14ac:dyDescent="0.25">
      <c r="A77">
        <v>1076</v>
      </c>
      <c r="B77" s="3">
        <v>45002</v>
      </c>
      <c r="C77" s="3" t="str">
        <f>TEXT(Fruits_Vendor[[#This Row],[Order_Date]],"mmmm")</f>
        <v>March</v>
      </c>
      <c r="D77" s="3" t="str">
        <f>TEXT(Fruits_Vendor[[#This Row],[Order_Date]],"yyyy")</f>
        <v>2023</v>
      </c>
      <c r="E77">
        <v>2091</v>
      </c>
      <c r="F77" t="s">
        <v>15</v>
      </c>
      <c r="G77" t="s">
        <v>23</v>
      </c>
      <c r="H77" t="s">
        <v>26</v>
      </c>
      <c r="I77" t="s">
        <v>32</v>
      </c>
      <c r="J77">
        <v>46</v>
      </c>
      <c r="K77">
        <v>3.73</v>
      </c>
      <c r="L77">
        <v>0.14000000000000001</v>
      </c>
      <c r="M77" t="s">
        <v>36</v>
      </c>
      <c r="N77" t="s">
        <v>38</v>
      </c>
      <c r="O77">
        <v>2</v>
      </c>
      <c r="P77">
        <v>3.6</v>
      </c>
      <c r="Q77">
        <v>147.55879999999999</v>
      </c>
    </row>
    <row r="78" spans="1:17" x14ac:dyDescent="0.25">
      <c r="A78">
        <v>1077</v>
      </c>
      <c r="B78" s="3">
        <v>45003</v>
      </c>
      <c r="C78" s="3" t="str">
        <f>TEXT(Fruits_Vendor[[#This Row],[Order_Date]],"mmmm")</f>
        <v>March</v>
      </c>
      <c r="D78" s="3" t="str">
        <f>TEXT(Fruits_Vendor[[#This Row],[Order_Date]],"yyyy")</f>
        <v>2023</v>
      </c>
      <c r="E78">
        <v>2366</v>
      </c>
      <c r="F78" t="s">
        <v>15</v>
      </c>
      <c r="G78" t="s">
        <v>22</v>
      </c>
      <c r="H78" t="s">
        <v>29</v>
      </c>
      <c r="I78" t="s">
        <v>31</v>
      </c>
      <c r="J78">
        <v>25</v>
      </c>
      <c r="K78">
        <v>2.2999999999999998</v>
      </c>
      <c r="L78">
        <v>0.01</v>
      </c>
      <c r="M78" t="s">
        <v>37</v>
      </c>
      <c r="N78" t="s">
        <v>38</v>
      </c>
      <c r="O78">
        <v>6</v>
      </c>
      <c r="P78">
        <v>2.7</v>
      </c>
      <c r="Q78">
        <v>56.92499999999999</v>
      </c>
    </row>
    <row r="79" spans="1:17" x14ac:dyDescent="0.25">
      <c r="A79">
        <v>1078</v>
      </c>
      <c r="B79" s="3">
        <v>45004</v>
      </c>
      <c r="C79" s="3" t="str">
        <f>TEXT(Fruits_Vendor[[#This Row],[Order_Date]],"mmmm")</f>
        <v>March</v>
      </c>
      <c r="D79" s="3" t="str">
        <f>TEXT(Fruits_Vendor[[#This Row],[Order_Date]],"yyyy")</f>
        <v>2023</v>
      </c>
      <c r="E79">
        <v>2955</v>
      </c>
      <c r="F79" t="s">
        <v>18</v>
      </c>
      <c r="G79" t="s">
        <v>20</v>
      </c>
      <c r="H79" t="s">
        <v>25</v>
      </c>
      <c r="I79" t="s">
        <v>32</v>
      </c>
      <c r="J79">
        <v>17</v>
      </c>
      <c r="K79">
        <v>4.9000000000000004</v>
      </c>
      <c r="L79">
        <v>0.1</v>
      </c>
      <c r="M79" t="s">
        <v>36</v>
      </c>
      <c r="N79" t="s">
        <v>38</v>
      </c>
      <c r="O79">
        <v>5</v>
      </c>
      <c r="P79">
        <v>3.9</v>
      </c>
      <c r="Q79">
        <v>74.970000000000013</v>
      </c>
    </row>
    <row r="80" spans="1:17" x14ac:dyDescent="0.25">
      <c r="A80">
        <v>1079</v>
      </c>
      <c r="B80" s="3">
        <v>45005</v>
      </c>
      <c r="C80" s="3" t="str">
        <f>TEXT(Fruits_Vendor[[#This Row],[Order_Date]],"mmmm")</f>
        <v>March</v>
      </c>
      <c r="D80" s="3" t="str">
        <f>TEXT(Fruits_Vendor[[#This Row],[Order_Date]],"yyyy")</f>
        <v>2023</v>
      </c>
      <c r="E80">
        <v>2454</v>
      </c>
      <c r="F80" t="s">
        <v>15</v>
      </c>
      <c r="G80" t="s">
        <v>20</v>
      </c>
      <c r="H80" t="s">
        <v>26</v>
      </c>
      <c r="I80" t="s">
        <v>32</v>
      </c>
      <c r="J80">
        <v>29</v>
      </c>
      <c r="K80">
        <v>4.2</v>
      </c>
      <c r="L80">
        <v>0.12</v>
      </c>
      <c r="M80" t="s">
        <v>37</v>
      </c>
      <c r="N80" t="s">
        <v>38</v>
      </c>
      <c r="O80">
        <v>6</v>
      </c>
      <c r="P80">
        <v>4.0999999999999996</v>
      </c>
      <c r="Q80">
        <v>107.184</v>
      </c>
    </row>
    <row r="81" spans="1:17" x14ac:dyDescent="0.25">
      <c r="A81">
        <v>1080</v>
      </c>
      <c r="B81" s="3">
        <v>45006</v>
      </c>
      <c r="C81" s="3" t="str">
        <f>TEXT(Fruits_Vendor[[#This Row],[Order_Date]],"mmmm")</f>
        <v>March</v>
      </c>
      <c r="D81" s="3" t="str">
        <f>TEXT(Fruits_Vendor[[#This Row],[Order_Date]],"yyyy")</f>
        <v>2023</v>
      </c>
      <c r="E81">
        <v>2427</v>
      </c>
      <c r="F81" t="s">
        <v>15</v>
      </c>
      <c r="G81" t="s">
        <v>24</v>
      </c>
      <c r="H81" t="s">
        <v>27</v>
      </c>
      <c r="I81" t="s">
        <v>31</v>
      </c>
      <c r="J81">
        <v>8</v>
      </c>
      <c r="K81">
        <v>2.85</v>
      </c>
      <c r="L81">
        <v>0.12</v>
      </c>
      <c r="M81" t="s">
        <v>36</v>
      </c>
      <c r="N81" t="s">
        <v>39</v>
      </c>
      <c r="O81">
        <v>3</v>
      </c>
      <c r="P81">
        <v>4.3</v>
      </c>
      <c r="Q81">
        <v>20.064</v>
      </c>
    </row>
    <row r="82" spans="1:17" x14ac:dyDescent="0.25">
      <c r="A82">
        <v>1081</v>
      </c>
      <c r="B82" s="3">
        <v>45007</v>
      </c>
      <c r="C82" s="3" t="str">
        <f>TEXT(Fruits_Vendor[[#This Row],[Order_Date]],"mmmm")</f>
        <v>March</v>
      </c>
      <c r="D82" s="3" t="str">
        <f>TEXT(Fruits_Vendor[[#This Row],[Order_Date]],"yyyy")</f>
        <v>2023</v>
      </c>
      <c r="E82">
        <v>2508</v>
      </c>
      <c r="F82" t="s">
        <v>17</v>
      </c>
      <c r="G82" t="s">
        <v>19</v>
      </c>
      <c r="H82" t="s">
        <v>27</v>
      </c>
      <c r="I82" t="s">
        <v>31</v>
      </c>
      <c r="J82">
        <v>15</v>
      </c>
      <c r="K82">
        <v>1.05</v>
      </c>
      <c r="L82">
        <v>0</v>
      </c>
      <c r="M82" t="s">
        <v>35</v>
      </c>
      <c r="N82" t="s">
        <v>39</v>
      </c>
      <c r="O82">
        <v>6</v>
      </c>
      <c r="P82">
        <v>3.4</v>
      </c>
      <c r="Q82">
        <v>15.75</v>
      </c>
    </row>
    <row r="83" spans="1:17" x14ac:dyDescent="0.25">
      <c r="A83">
        <v>1082</v>
      </c>
      <c r="B83" s="3">
        <v>45008</v>
      </c>
      <c r="C83" s="3" t="str">
        <f>TEXT(Fruits_Vendor[[#This Row],[Order_Date]],"mmmm")</f>
        <v>March</v>
      </c>
      <c r="D83" s="3" t="str">
        <f>TEXT(Fruits_Vendor[[#This Row],[Order_Date]],"yyyy")</f>
        <v>2023</v>
      </c>
      <c r="E83">
        <v>2775</v>
      </c>
      <c r="F83" t="s">
        <v>15</v>
      </c>
      <c r="G83" t="s">
        <v>23</v>
      </c>
      <c r="H83" t="s">
        <v>30</v>
      </c>
      <c r="I83" t="s">
        <v>31</v>
      </c>
      <c r="J83">
        <v>27</v>
      </c>
      <c r="K83">
        <v>4.37</v>
      </c>
      <c r="L83">
        <v>0.06</v>
      </c>
      <c r="M83" t="s">
        <v>34</v>
      </c>
      <c r="N83" t="s">
        <v>40</v>
      </c>
      <c r="O83">
        <v>6</v>
      </c>
      <c r="P83">
        <v>3.9</v>
      </c>
      <c r="Q83">
        <v>110.9106</v>
      </c>
    </row>
    <row r="84" spans="1:17" x14ac:dyDescent="0.25">
      <c r="A84">
        <v>1083</v>
      </c>
      <c r="B84" s="3">
        <v>45009</v>
      </c>
      <c r="C84" s="3" t="str">
        <f>TEXT(Fruits_Vendor[[#This Row],[Order_Date]],"mmmm")</f>
        <v>March</v>
      </c>
      <c r="D84" s="3" t="str">
        <f>TEXT(Fruits_Vendor[[#This Row],[Order_Date]],"yyyy")</f>
        <v>2023</v>
      </c>
      <c r="E84">
        <v>2942</v>
      </c>
      <c r="F84" t="s">
        <v>16</v>
      </c>
      <c r="G84" t="s">
        <v>24</v>
      </c>
      <c r="H84" t="s">
        <v>26</v>
      </c>
      <c r="I84" t="s">
        <v>31</v>
      </c>
      <c r="J84">
        <v>46</v>
      </c>
      <c r="K84">
        <v>4.0999999999999996</v>
      </c>
      <c r="L84">
        <v>0.13</v>
      </c>
      <c r="M84" t="s">
        <v>35</v>
      </c>
      <c r="N84" t="s">
        <v>39</v>
      </c>
      <c r="O84">
        <v>5</v>
      </c>
      <c r="P84">
        <v>3.6</v>
      </c>
      <c r="Q84">
        <v>164.08199999999999</v>
      </c>
    </row>
    <row r="85" spans="1:17" x14ac:dyDescent="0.25">
      <c r="A85">
        <v>1084</v>
      </c>
      <c r="B85" s="3">
        <v>45010</v>
      </c>
      <c r="C85" s="3" t="str">
        <f>TEXT(Fruits_Vendor[[#This Row],[Order_Date]],"mmmm")</f>
        <v>March</v>
      </c>
      <c r="D85" s="3" t="str">
        <f>TEXT(Fruits_Vendor[[#This Row],[Order_Date]],"yyyy")</f>
        <v>2023</v>
      </c>
      <c r="E85">
        <v>2034</v>
      </c>
      <c r="F85" t="s">
        <v>16</v>
      </c>
      <c r="G85" t="s">
        <v>19</v>
      </c>
      <c r="H85" t="s">
        <v>25</v>
      </c>
      <c r="I85" t="s">
        <v>31</v>
      </c>
      <c r="J85">
        <v>7</v>
      </c>
      <c r="K85">
        <v>1.33</v>
      </c>
      <c r="L85">
        <v>0.03</v>
      </c>
      <c r="M85" t="s">
        <v>35</v>
      </c>
      <c r="N85" t="s">
        <v>39</v>
      </c>
      <c r="O85">
        <v>4</v>
      </c>
      <c r="P85">
        <v>4.2</v>
      </c>
      <c r="Q85">
        <v>9.0306999999999995</v>
      </c>
    </row>
    <row r="86" spans="1:17" x14ac:dyDescent="0.25">
      <c r="A86">
        <v>1085</v>
      </c>
      <c r="B86" s="3">
        <v>45011</v>
      </c>
      <c r="C86" s="3" t="str">
        <f>TEXT(Fruits_Vendor[[#This Row],[Order_Date]],"mmmm")</f>
        <v>March</v>
      </c>
      <c r="D86" s="3" t="str">
        <f>TEXT(Fruits_Vendor[[#This Row],[Order_Date]],"yyyy")</f>
        <v>2023</v>
      </c>
      <c r="E86">
        <v>2205</v>
      </c>
      <c r="F86" t="s">
        <v>18</v>
      </c>
      <c r="G86" t="s">
        <v>19</v>
      </c>
      <c r="H86" t="s">
        <v>28</v>
      </c>
      <c r="I86" t="s">
        <v>31</v>
      </c>
      <c r="J86">
        <v>3</v>
      </c>
      <c r="K86">
        <v>1.83</v>
      </c>
      <c r="L86">
        <v>0.14000000000000001</v>
      </c>
      <c r="M86" t="s">
        <v>37</v>
      </c>
      <c r="N86" t="s">
        <v>38</v>
      </c>
      <c r="O86">
        <v>5</v>
      </c>
      <c r="P86">
        <v>4</v>
      </c>
      <c r="Q86">
        <v>4.7214</v>
      </c>
    </row>
    <row r="87" spans="1:17" x14ac:dyDescent="0.25">
      <c r="A87">
        <v>1086</v>
      </c>
      <c r="B87" s="3">
        <v>45012</v>
      </c>
      <c r="C87" s="3" t="str">
        <f>TEXT(Fruits_Vendor[[#This Row],[Order_Date]],"mmmm")</f>
        <v>March</v>
      </c>
      <c r="D87" s="3" t="str">
        <f>TEXT(Fruits_Vendor[[#This Row],[Order_Date]],"yyyy")</f>
        <v>2023</v>
      </c>
      <c r="E87">
        <v>2080</v>
      </c>
      <c r="F87" t="s">
        <v>15</v>
      </c>
      <c r="G87" t="s">
        <v>20</v>
      </c>
      <c r="H87" t="s">
        <v>29</v>
      </c>
      <c r="I87" t="s">
        <v>31</v>
      </c>
      <c r="J87">
        <v>29</v>
      </c>
      <c r="K87">
        <v>4.07</v>
      </c>
      <c r="L87">
        <v>0.15</v>
      </c>
      <c r="M87" t="s">
        <v>36</v>
      </c>
      <c r="N87" t="s">
        <v>38</v>
      </c>
      <c r="O87">
        <v>3</v>
      </c>
      <c r="P87">
        <v>3.8</v>
      </c>
      <c r="Q87">
        <v>100.32550000000001</v>
      </c>
    </row>
    <row r="88" spans="1:17" x14ac:dyDescent="0.25">
      <c r="A88">
        <v>1087</v>
      </c>
      <c r="B88" s="3">
        <v>45013</v>
      </c>
      <c r="C88" s="3" t="str">
        <f>TEXT(Fruits_Vendor[[#This Row],[Order_Date]],"mmmm")</f>
        <v>March</v>
      </c>
      <c r="D88" s="3" t="str">
        <f>TEXT(Fruits_Vendor[[#This Row],[Order_Date]],"yyyy")</f>
        <v>2023</v>
      </c>
      <c r="E88">
        <v>2931</v>
      </c>
      <c r="F88" t="s">
        <v>18</v>
      </c>
      <c r="G88" t="s">
        <v>21</v>
      </c>
      <c r="H88" t="s">
        <v>30</v>
      </c>
      <c r="I88" t="s">
        <v>33</v>
      </c>
      <c r="J88">
        <v>44</v>
      </c>
      <c r="K88">
        <v>1.33</v>
      </c>
      <c r="L88">
        <v>0.2</v>
      </c>
      <c r="M88" t="s">
        <v>34</v>
      </c>
      <c r="N88" t="s">
        <v>39</v>
      </c>
      <c r="O88">
        <v>4</v>
      </c>
      <c r="P88">
        <v>3.1</v>
      </c>
      <c r="Q88">
        <v>46.816000000000003</v>
      </c>
    </row>
    <row r="89" spans="1:17" x14ac:dyDescent="0.25">
      <c r="A89">
        <v>1088</v>
      </c>
      <c r="B89" s="3">
        <v>45014</v>
      </c>
      <c r="C89" s="3" t="str">
        <f>TEXT(Fruits_Vendor[[#This Row],[Order_Date]],"mmmm")</f>
        <v>March</v>
      </c>
      <c r="D89" s="3" t="str">
        <f>TEXT(Fruits_Vendor[[#This Row],[Order_Date]],"yyyy")</f>
        <v>2023</v>
      </c>
      <c r="E89">
        <v>2561</v>
      </c>
      <c r="F89" t="s">
        <v>16</v>
      </c>
      <c r="G89" t="s">
        <v>21</v>
      </c>
      <c r="H89" t="s">
        <v>27</v>
      </c>
      <c r="I89" t="s">
        <v>32</v>
      </c>
      <c r="J89">
        <v>24</v>
      </c>
      <c r="K89">
        <v>4.63</v>
      </c>
      <c r="L89">
        <v>0.04</v>
      </c>
      <c r="M89" t="s">
        <v>37</v>
      </c>
      <c r="N89" t="s">
        <v>40</v>
      </c>
      <c r="O89">
        <v>1</v>
      </c>
      <c r="P89">
        <v>2.5</v>
      </c>
      <c r="Q89">
        <v>106.6752</v>
      </c>
    </row>
    <row r="90" spans="1:17" x14ac:dyDescent="0.25">
      <c r="A90">
        <v>1089</v>
      </c>
      <c r="B90" s="3">
        <v>45015</v>
      </c>
      <c r="C90" s="3" t="str">
        <f>TEXT(Fruits_Vendor[[#This Row],[Order_Date]],"mmmm")</f>
        <v>March</v>
      </c>
      <c r="D90" s="3" t="str">
        <f>TEXT(Fruits_Vendor[[#This Row],[Order_Date]],"yyyy")</f>
        <v>2023</v>
      </c>
      <c r="E90">
        <v>2871</v>
      </c>
      <c r="F90" t="s">
        <v>15</v>
      </c>
      <c r="G90" t="s">
        <v>22</v>
      </c>
      <c r="H90" t="s">
        <v>28</v>
      </c>
      <c r="I90" t="s">
        <v>31</v>
      </c>
      <c r="J90">
        <v>3</v>
      </c>
      <c r="K90">
        <v>2.41</v>
      </c>
      <c r="L90">
        <v>0.17</v>
      </c>
      <c r="M90" t="s">
        <v>37</v>
      </c>
      <c r="N90" t="s">
        <v>38</v>
      </c>
      <c r="O90">
        <v>1</v>
      </c>
      <c r="P90">
        <v>2.9</v>
      </c>
      <c r="Q90">
        <v>6.0008999999999997</v>
      </c>
    </row>
    <row r="91" spans="1:17" x14ac:dyDescent="0.25">
      <c r="A91">
        <v>1090</v>
      </c>
      <c r="B91" s="3">
        <v>45016</v>
      </c>
      <c r="C91" s="3" t="str">
        <f>TEXT(Fruits_Vendor[[#This Row],[Order_Date]],"mmmm")</f>
        <v>March</v>
      </c>
      <c r="D91" s="3" t="str">
        <f>TEXT(Fruits_Vendor[[#This Row],[Order_Date]],"yyyy")</f>
        <v>2023</v>
      </c>
      <c r="E91">
        <v>2387</v>
      </c>
      <c r="F91" t="s">
        <v>15</v>
      </c>
      <c r="G91" t="s">
        <v>20</v>
      </c>
      <c r="H91" t="s">
        <v>28</v>
      </c>
      <c r="I91" t="s">
        <v>33</v>
      </c>
      <c r="J91">
        <v>20</v>
      </c>
      <c r="K91">
        <v>0.89</v>
      </c>
      <c r="L91">
        <v>0.1</v>
      </c>
      <c r="M91" t="s">
        <v>37</v>
      </c>
      <c r="N91" t="s">
        <v>39</v>
      </c>
      <c r="O91">
        <v>3</v>
      </c>
      <c r="P91">
        <v>2.8</v>
      </c>
      <c r="Q91">
        <v>16.02</v>
      </c>
    </row>
    <row r="92" spans="1:17" x14ac:dyDescent="0.25">
      <c r="A92">
        <v>1091</v>
      </c>
      <c r="B92" s="3">
        <v>45017</v>
      </c>
      <c r="C92" s="3" t="str">
        <f>TEXT(Fruits_Vendor[[#This Row],[Order_Date]],"mmmm")</f>
        <v>April</v>
      </c>
      <c r="D92" s="3" t="str">
        <f>TEXT(Fruits_Vendor[[#This Row],[Order_Date]],"yyyy")</f>
        <v>2023</v>
      </c>
      <c r="E92">
        <v>2001</v>
      </c>
      <c r="F92" t="s">
        <v>18</v>
      </c>
      <c r="G92" t="s">
        <v>19</v>
      </c>
      <c r="H92" t="s">
        <v>29</v>
      </c>
      <c r="I92" t="s">
        <v>33</v>
      </c>
      <c r="J92">
        <v>46</v>
      </c>
      <c r="K92">
        <v>4.17</v>
      </c>
      <c r="L92">
        <v>7.0000000000000007E-2</v>
      </c>
      <c r="M92" t="s">
        <v>35</v>
      </c>
      <c r="N92" t="s">
        <v>39</v>
      </c>
      <c r="O92">
        <v>5</v>
      </c>
      <c r="P92">
        <v>3.6</v>
      </c>
      <c r="Q92">
        <v>178.39259999999999</v>
      </c>
    </row>
    <row r="93" spans="1:17" x14ac:dyDescent="0.25">
      <c r="A93">
        <v>1092</v>
      </c>
      <c r="B93" s="3">
        <v>45018</v>
      </c>
      <c r="C93" s="3" t="str">
        <f>TEXT(Fruits_Vendor[[#This Row],[Order_Date]],"mmmm")</f>
        <v>April</v>
      </c>
      <c r="D93" s="3" t="str">
        <f>TEXT(Fruits_Vendor[[#This Row],[Order_Date]],"yyyy")</f>
        <v>2023</v>
      </c>
      <c r="E93">
        <v>2389</v>
      </c>
      <c r="F93" t="s">
        <v>16</v>
      </c>
      <c r="G93" t="s">
        <v>23</v>
      </c>
      <c r="H93" t="s">
        <v>26</v>
      </c>
      <c r="I93" t="s">
        <v>33</v>
      </c>
      <c r="J93">
        <v>15</v>
      </c>
      <c r="K93">
        <v>2.1800000000000002</v>
      </c>
      <c r="L93">
        <v>0.02</v>
      </c>
      <c r="M93" t="s">
        <v>36</v>
      </c>
      <c r="N93" t="s">
        <v>40</v>
      </c>
      <c r="O93">
        <v>2</v>
      </c>
      <c r="P93">
        <v>4</v>
      </c>
      <c r="Q93">
        <v>32.045999999999999</v>
      </c>
    </row>
    <row r="94" spans="1:17" x14ac:dyDescent="0.25">
      <c r="A94">
        <v>1093</v>
      </c>
      <c r="B94" s="3">
        <v>45019</v>
      </c>
      <c r="C94" s="3" t="str">
        <f>TEXT(Fruits_Vendor[[#This Row],[Order_Date]],"mmmm")</f>
        <v>April</v>
      </c>
      <c r="D94" s="3" t="str">
        <f>TEXT(Fruits_Vendor[[#This Row],[Order_Date]],"yyyy")</f>
        <v>2023</v>
      </c>
      <c r="E94">
        <v>2565</v>
      </c>
      <c r="F94" t="s">
        <v>15</v>
      </c>
      <c r="G94" t="s">
        <v>21</v>
      </c>
      <c r="H94" t="s">
        <v>27</v>
      </c>
      <c r="I94" t="s">
        <v>32</v>
      </c>
      <c r="J94">
        <v>25</v>
      </c>
      <c r="K94">
        <v>2.87</v>
      </c>
      <c r="L94">
        <v>0.15</v>
      </c>
      <c r="M94" t="s">
        <v>36</v>
      </c>
      <c r="N94" t="s">
        <v>40</v>
      </c>
      <c r="O94">
        <v>3</v>
      </c>
      <c r="P94">
        <v>3</v>
      </c>
      <c r="Q94">
        <v>60.987499999999997</v>
      </c>
    </row>
    <row r="95" spans="1:17" x14ac:dyDescent="0.25">
      <c r="A95">
        <v>1094</v>
      </c>
      <c r="B95" s="3">
        <v>45020</v>
      </c>
      <c r="C95" s="3" t="str">
        <f>TEXT(Fruits_Vendor[[#This Row],[Order_Date]],"mmmm")</f>
        <v>April</v>
      </c>
      <c r="D95" s="3" t="str">
        <f>TEXT(Fruits_Vendor[[#This Row],[Order_Date]],"yyyy")</f>
        <v>2023</v>
      </c>
      <c r="E95">
        <v>2105</v>
      </c>
      <c r="F95" t="s">
        <v>18</v>
      </c>
      <c r="G95" t="s">
        <v>19</v>
      </c>
      <c r="H95" t="s">
        <v>25</v>
      </c>
      <c r="I95" t="s">
        <v>31</v>
      </c>
      <c r="J95">
        <v>30</v>
      </c>
      <c r="K95">
        <v>1.01</v>
      </c>
      <c r="L95">
        <v>0.05</v>
      </c>
      <c r="M95" t="s">
        <v>34</v>
      </c>
      <c r="N95" t="s">
        <v>38</v>
      </c>
      <c r="O95">
        <v>4</v>
      </c>
      <c r="P95">
        <v>4.8</v>
      </c>
      <c r="Q95">
        <v>28.785</v>
      </c>
    </row>
    <row r="96" spans="1:17" x14ac:dyDescent="0.25">
      <c r="A96">
        <v>1095</v>
      </c>
      <c r="B96" s="3">
        <v>45021</v>
      </c>
      <c r="C96" s="3" t="str">
        <f>TEXT(Fruits_Vendor[[#This Row],[Order_Date]],"mmmm")</f>
        <v>April</v>
      </c>
      <c r="D96" s="3" t="str">
        <f>TEXT(Fruits_Vendor[[#This Row],[Order_Date]],"yyyy")</f>
        <v>2023</v>
      </c>
      <c r="E96">
        <v>2771</v>
      </c>
      <c r="F96" t="s">
        <v>16</v>
      </c>
      <c r="G96" t="s">
        <v>21</v>
      </c>
      <c r="H96" t="s">
        <v>28</v>
      </c>
      <c r="I96" t="s">
        <v>33</v>
      </c>
      <c r="J96">
        <v>14</v>
      </c>
      <c r="K96">
        <v>0.51</v>
      </c>
      <c r="L96">
        <v>7.0000000000000007E-2</v>
      </c>
      <c r="M96" t="s">
        <v>36</v>
      </c>
      <c r="N96" t="s">
        <v>40</v>
      </c>
      <c r="O96">
        <v>4</v>
      </c>
      <c r="P96">
        <v>2.5</v>
      </c>
      <c r="Q96">
        <v>6.6402000000000001</v>
      </c>
    </row>
    <row r="97" spans="1:17" x14ac:dyDescent="0.25">
      <c r="A97">
        <v>1096</v>
      </c>
      <c r="B97" s="3">
        <v>45022</v>
      </c>
      <c r="C97" s="3" t="str">
        <f>TEXT(Fruits_Vendor[[#This Row],[Order_Date]],"mmmm")</f>
        <v>April</v>
      </c>
      <c r="D97" s="3" t="str">
        <f>TEXT(Fruits_Vendor[[#This Row],[Order_Date]],"yyyy")</f>
        <v>2023</v>
      </c>
      <c r="E97">
        <v>2821</v>
      </c>
      <c r="F97" t="s">
        <v>18</v>
      </c>
      <c r="G97" t="s">
        <v>21</v>
      </c>
      <c r="H97" t="s">
        <v>29</v>
      </c>
      <c r="I97" t="s">
        <v>32</v>
      </c>
      <c r="J97">
        <v>7</v>
      </c>
      <c r="K97">
        <v>3.37</v>
      </c>
      <c r="L97">
        <v>0.01</v>
      </c>
      <c r="M97" t="s">
        <v>36</v>
      </c>
      <c r="N97" t="s">
        <v>39</v>
      </c>
      <c r="O97">
        <v>6</v>
      </c>
      <c r="P97">
        <v>4.4000000000000004</v>
      </c>
      <c r="Q97">
        <v>23.354099999999999</v>
      </c>
    </row>
    <row r="98" spans="1:17" x14ac:dyDescent="0.25">
      <c r="A98">
        <v>1097</v>
      </c>
      <c r="B98" s="3">
        <v>45023</v>
      </c>
      <c r="C98" s="3" t="str">
        <f>TEXT(Fruits_Vendor[[#This Row],[Order_Date]],"mmmm")</f>
        <v>April</v>
      </c>
      <c r="D98" s="3" t="str">
        <f>TEXT(Fruits_Vendor[[#This Row],[Order_Date]],"yyyy")</f>
        <v>2023</v>
      </c>
      <c r="E98">
        <v>2476</v>
      </c>
      <c r="F98" t="s">
        <v>17</v>
      </c>
      <c r="G98" t="s">
        <v>21</v>
      </c>
      <c r="H98" t="s">
        <v>25</v>
      </c>
      <c r="I98" t="s">
        <v>32</v>
      </c>
      <c r="J98">
        <v>17</v>
      </c>
      <c r="K98">
        <v>2.82</v>
      </c>
      <c r="L98">
        <v>0.16</v>
      </c>
      <c r="M98" t="s">
        <v>37</v>
      </c>
      <c r="N98" t="s">
        <v>39</v>
      </c>
      <c r="O98">
        <v>1</v>
      </c>
      <c r="P98">
        <v>4.0999999999999996</v>
      </c>
      <c r="Q98">
        <v>40.269599999999997</v>
      </c>
    </row>
    <row r="99" spans="1:17" x14ac:dyDescent="0.25">
      <c r="A99">
        <v>1098</v>
      </c>
      <c r="B99" s="3">
        <v>45024</v>
      </c>
      <c r="C99" s="3" t="str">
        <f>TEXT(Fruits_Vendor[[#This Row],[Order_Date]],"mmmm")</f>
        <v>April</v>
      </c>
      <c r="D99" s="3" t="str">
        <f>TEXT(Fruits_Vendor[[#This Row],[Order_Date]],"yyyy")</f>
        <v>2023</v>
      </c>
      <c r="E99">
        <v>2702</v>
      </c>
      <c r="F99" t="s">
        <v>15</v>
      </c>
      <c r="G99" t="s">
        <v>23</v>
      </c>
      <c r="H99" t="s">
        <v>26</v>
      </c>
      <c r="I99" t="s">
        <v>32</v>
      </c>
      <c r="J99">
        <v>44</v>
      </c>
      <c r="K99">
        <v>3.17</v>
      </c>
      <c r="L99">
        <v>0.15</v>
      </c>
      <c r="M99" t="s">
        <v>37</v>
      </c>
      <c r="N99" t="s">
        <v>40</v>
      </c>
      <c r="O99">
        <v>4</v>
      </c>
      <c r="P99">
        <v>3.4</v>
      </c>
      <c r="Q99">
        <v>118.55800000000001</v>
      </c>
    </row>
    <row r="100" spans="1:17" x14ac:dyDescent="0.25">
      <c r="A100">
        <v>1099</v>
      </c>
      <c r="B100" s="3">
        <v>45025</v>
      </c>
      <c r="C100" s="3" t="str">
        <f>TEXT(Fruits_Vendor[[#This Row],[Order_Date]],"mmmm")</f>
        <v>April</v>
      </c>
      <c r="D100" s="3" t="str">
        <f>TEXT(Fruits_Vendor[[#This Row],[Order_Date]],"yyyy")</f>
        <v>2023</v>
      </c>
      <c r="E100">
        <v>2401</v>
      </c>
      <c r="F100" t="s">
        <v>17</v>
      </c>
      <c r="G100" t="s">
        <v>20</v>
      </c>
      <c r="H100" t="s">
        <v>27</v>
      </c>
      <c r="I100" t="s">
        <v>33</v>
      </c>
      <c r="J100">
        <v>20</v>
      </c>
      <c r="K100">
        <v>4.07</v>
      </c>
      <c r="L100">
        <v>0.15</v>
      </c>
      <c r="M100" t="s">
        <v>35</v>
      </c>
      <c r="N100" t="s">
        <v>40</v>
      </c>
      <c r="O100">
        <v>3</v>
      </c>
      <c r="P100">
        <v>2.6</v>
      </c>
      <c r="Q100">
        <v>69.19</v>
      </c>
    </row>
    <row r="101" spans="1:17" x14ac:dyDescent="0.25">
      <c r="A101">
        <v>1100</v>
      </c>
      <c r="B101" s="3">
        <v>45026</v>
      </c>
      <c r="C101" s="3" t="str">
        <f>TEXT(Fruits_Vendor[[#This Row],[Order_Date]],"mmmm")</f>
        <v>April</v>
      </c>
      <c r="D101" s="3" t="str">
        <f>TEXT(Fruits_Vendor[[#This Row],[Order_Date]],"yyyy")</f>
        <v>2023</v>
      </c>
      <c r="E101">
        <v>2729</v>
      </c>
      <c r="F101" t="s">
        <v>16</v>
      </c>
      <c r="G101" t="s">
        <v>23</v>
      </c>
      <c r="H101" t="s">
        <v>26</v>
      </c>
      <c r="I101" t="s">
        <v>31</v>
      </c>
      <c r="J101">
        <v>36</v>
      </c>
      <c r="K101">
        <v>3.41</v>
      </c>
      <c r="L101">
        <v>0.06</v>
      </c>
      <c r="M101" t="s">
        <v>37</v>
      </c>
      <c r="N101" t="s">
        <v>40</v>
      </c>
      <c r="O101">
        <v>4</v>
      </c>
      <c r="P101">
        <v>4.0999999999999996</v>
      </c>
      <c r="Q101">
        <v>115.3944</v>
      </c>
    </row>
    <row r="102" spans="1:17" x14ac:dyDescent="0.25">
      <c r="A102">
        <v>1101</v>
      </c>
      <c r="B102" s="3">
        <v>45027</v>
      </c>
      <c r="C102" s="3" t="str">
        <f>TEXT(Fruits_Vendor[[#This Row],[Order_Date]],"mmmm")</f>
        <v>April</v>
      </c>
      <c r="D102" s="3" t="str">
        <f>TEXT(Fruits_Vendor[[#This Row],[Order_Date]],"yyyy")</f>
        <v>2023</v>
      </c>
      <c r="E102">
        <v>2555</v>
      </c>
      <c r="F102" t="s">
        <v>17</v>
      </c>
      <c r="G102" t="s">
        <v>24</v>
      </c>
      <c r="H102" t="s">
        <v>28</v>
      </c>
      <c r="I102" t="s">
        <v>33</v>
      </c>
      <c r="J102">
        <v>9</v>
      </c>
      <c r="K102">
        <v>1.29</v>
      </c>
      <c r="L102">
        <v>0.03</v>
      </c>
      <c r="M102" t="s">
        <v>37</v>
      </c>
      <c r="N102" t="s">
        <v>40</v>
      </c>
      <c r="O102">
        <v>3</v>
      </c>
      <c r="P102">
        <v>3.5</v>
      </c>
      <c r="Q102">
        <v>11.261699999999999</v>
      </c>
    </row>
    <row r="103" spans="1:17" x14ac:dyDescent="0.25">
      <c r="A103">
        <v>1102</v>
      </c>
      <c r="B103" s="3">
        <v>45028</v>
      </c>
      <c r="C103" s="3" t="str">
        <f>TEXT(Fruits_Vendor[[#This Row],[Order_Date]],"mmmm")</f>
        <v>April</v>
      </c>
      <c r="D103" s="3" t="str">
        <f>TEXT(Fruits_Vendor[[#This Row],[Order_Date]],"yyyy")</f>
        <v>2023</v>
      </c>
      <c r="E103">
        <v>2161</v>
      </c>
      <c r="F103" t="s">
        <v>17</v>
      </c>
      <c r="G103" t="s">
        <v>19</v>
      </c>
      <c r="H103" t="s">
        <v>25</v>
      </c>
      <c r="I103" t="s">
        <v>33</v>
      </c>
      <c r="J103">
        <v>38</v>
      </c>
      <c r="K103">
        <v>2.12</v>
      </c>
      <c r="L103">
        <v>0.13</v>
      </c>
      <c r="M103" t="s">
        <v>37</v>
      </c>
      <c r="N103" t="s">
        <v>38</v>
      </c>
      <c r="O103">
        <v>2</v>
      </c>
      <c r="P103">
        <v>4.8</v>
      </c>
      <c r="Q103">
        <v>70.087199999999996</v>
      </c>
    </row>
    <row r="104" spans="1:17" x14ac:dyDescent="0.25">
      <c r="A104">
        <v>1103</v>
      </c>
      <c r="B104" s="3">
        <v>45029</v>
      </c>
      <c r="C104" s="3" t="str">
        <f>TEXT(Fruits_Vendor[[#This Row],[Order_Date]],"mmmm")</f>
        <v>April</v>
      </c>
      <c r="D104" s="3" t="str">
        <f>TEXT(Fruits_Vendor[[#This Row],[Order_Date]],"yyyy")</f>
        <v>2023</v>
      </c>
      <c r="E104">
        <v>2201</v>
      </c>
      <c r="F104" t="s">
        <v>16</v>
      </c>
      <c r="G104" t="s">
        <v>20</v>
      </c>
      <c r="H104" t="s">
        <v>25</v>
      </c>
      <c r="I104" t="s">
        <v>31</v>
      </c>
      <c r="J104">
        <v>48</v>
      </c>
      <c r="K104">
        <v>4.58</v>
      </c>
      <c r="L104">
        <v>0.1</v>
      </c>
      <c r="M104" t="s">
        <v>37</v>
      </c>
      <c r="N104" t="s">
        <v>40</v>
      </c>
      <c r="O104">
        <v>6</v>
      </c>
      <c r="P104">
        <v>3.9</v>
      </c>
      <c r="Q104">
        <v>197.85599999999999</v>
      </c>
    </row>
    <row r="105" spans="1:17" x14ac:dyDescent="0.25">
      <c r="A105">
        <v>1104</v>
      </c>
      <c r="B105" s="3">
        <v>45030</v>
      </c>
      <c r="C105" s="3" t="str">
        <f>TEXT(Fruits_Vendor[[#This Row],[Order_Date]],"mmmm")</f>
        <v>April</v>
      </c>
      <c r="D105" s="3" t="str">
        <f>TEXT(Fruits_Vendor[[#This Row],[Order_Date]],"yyyy")</f>
        <v>2023</v>
      </c>
      <c r="E105">
        <v>2957</v>
      </c>
      <c r="F105" t="s">
        <v>18</v>
      </c>
      <c r="G105" t="s">
        <v>20</v>
      </c>
      <c r="H105" t="s">
        <v>25</v>
      </c>
      <c r="I105" t="s">
        <v>31</v>
      </c>
      <c r="J105">
        <v>22</v>
      </c>
      <c r="K105">
        <v>3.96</v>
      </c>
      <c r="L105">
        <v>0.04</v>
      </c>
      <c r="M105" t="s">
        <v>35</v>
      </c>
      <c r="N105" t="s">
        <v>38</v>
      </c>
      <c r="O105">
        <v>1</v>
      </c>
      <c r="P105">
        <v>4.8</v>
      </c>
      <c r="Q105">
        <v>83.635199999999998</v>
      </c>
    </row>
    <row r="106" spans="1:17" x14ac:dyDescent="0.25">
      <c r="A106">
        <v>1105</v>
      </c>
      <c r="B106" s="3">
        <v>45031</v>
      </c>
      <c r="C106" s="3" t="str">
        <f>TEXT(Fruits_Vendor[[#This Row],[Order_Date]],"mmmm")</f>
        <v>April</v>
      </c>
      <c r="D106" s="3" t="str">
        <f>TEXT(Fruits_Vendor[[#This Row],[Order_Date]],"yyyy")</f>
        <v>2023</v>
      </c>
      <c r="E106">
        <v>2995</v>
      </c>
      <c r="F106" t="s">
        <v>17</v>
      </c>
      <c r="G106" t="s">
        <v>20</v>
      </c>
      <c r="H106" t="s">
        <v>28</v>
      </c>
      <c r="I106" t="s">
        <v>31</v>
      </c>
      <c r="J106">
        <v>2</v>
      </c>
      <c r="K106">
        <v>3</v>
      </c>
      <c r="L106">
        <v>0.14000000000000001</v>
      </c>
      <c r="M106" t="s">
        <v>37</v>
      </c>
      <c r="N106" t="s">
        <v>39</v>
      </c>
      <c r="O106">
        <v>4</v>
      </c>
      <c r="P106">
        <v>3.1</v>
      </c>
      <c r="Q106">
        <v>5.16</v>
      </c>
    </row>
    <row r="107" spans="1:17" x14ac:dyDescent="0.25">
      <c r="A107">
        <v>1106</v>
      </c>
      <c r="B107" s="3">
        <v>45032</v>
      </c>
      <c r="C107" s="3" t="str">
        <f>TEXT(Fruits_Vendor[[#This Row],[Order_Date]],"mmmm")</f>
        <v>April</v>
      </c>
      <c r="D107" s="3" t="str">
        <f>TEXT(Fruits_Vendor[[#This Row],[Order_Date]],"yyyy")</f>
        <v>2023</v>
      </c>
      <c r="E107">
        <v>2269</v>
      </c>
      <c r="F107" t="s">
        <v>18</v>
      </c>
      <c r="G107" t="s">
        <v>20</v>
      </c>
      <c r="H107" t="s">
        <v>28</v>
      </c>
      <c r="I107" t="s">
        <v>32</v>
      </c>
      <c r="J107">
        <v>24</v>
      </c>
      <c r="K107">
        <v>1.65</v>
      </c>
      <c r="L107">
        <v>0.2</v>
      </c>
      <c r="M107" t="s">
        <v>34</v>
      </c>
      <c r="N107" t="s">
        <v>40</v>
      </c>
      <c r="O107">
        <v>3</v>
      </c>
      <c r="P107">
        <v>4.3</v>
      </c>
      <c r="Q107">
        <v>31.68</v>
      </c>
    </row>
    <row r="108" spans="1:17" x14ac:dyDescent="0.25">
      <c r="A108">
        <v>1107</v>
      </c>
      <c r="B108" s="3">
        <v>45033</v>
      </c>
      <c r="C108" s="3" t="str">
        <f>TEXT(Fruits_Vendor[[#This Row],[Order_Date]],"mmmm")</f>
        <v>April</v>
      </c>
      <c r="D108" s="3" t="str">
        <f>TEXT(Fruits_Vendor[[#This Row],[Order_Date]],"yyyy")</f>
        <v>2023</v>
      </c>
      <c r="E108">
        <v>2862</v>
      </c>
      <c r="F108" t="s">
        <v>17</v>
      </c>
      <c r="G108" t="s">
        <v>23</v>
      </c>
      <c r="H108" t="s">
        <v>26</v>
      </c>
      <c r="I108" t="s">
        <v>31</v>
      </c>
      <c r="J108">
        <v>8</v>
      </c>
      <c r="K108">
        <v>1.86</v>
      </c>
      <c r="L108">
        <v>0.15</v>
      </c>
      <c r="M108" t="s">
        <v>34</v>
      </c>
      <c r="N108" t="s">
        <v>38</v>
      </c>
      <c r="O108">
        <v>5</v>
      </c>
      <c r="P108">
        <v>4</v>
      </c>
      <c r="Q108">
        <v>12.648</v>
      </c>
    </row>
    <row r="109" spans="1:17" x14ac:dyDescent="0.25">
      <c r="A109">
        <v>1108</v>
      </c>
      <c r="B109" s="3">
        <v>45034</v>
      </c>
      <c r="C109" s="3" t="str">
        <f>TEXT(Fruits_Vendor[[#This Row],[Order_Date]],"mmmm")</f>
        <v>April</v>
      </c>
      <c r="D109" s="3" t="str">
        <f>TEXT(Fruits_Vendor[[#This Row],[Order_Date]],"yyyy")</f>
        <v>2023</v>
      </c>
      <c r="E109">
        <v>2815</v>
      </c>
      <c r="F109" t="s">
        <v>18</v>
      </c>
      <c r="G109" t="s">
        <v>20</v>
      </c>
      <c r="H109" t="s">
        <v>30</v>
      </c>
      <c r="I109" t="s">
        <v>33</v>
      </c>
      <c r="J109">
        <v>11</v>
      </c>
      <c r="K109">
        <v>3.79</v>
      </c>
      <c r="L109">
        <v>0.15</v>
      </c>
      <c r="M109" t="s">
        <v>34</v>
      </c>
      <c r="N109" t="s">
        <v>40</v>
      </c>
      <c r="O109">
        <v>1</v>
      </c>
      <c r="P109">
        <v>4.3</v>
      </c>
      <c r="Q109">
        <v>35.436500000000002</v>
      </c>
    </row>
    <row r="110" spans="1:17" x14ac:dyDescent="0.25">
      <c r="A110">
        <v>1109</v>
      </c>
      <c r="B110" s="3">
        <v>45035</v>
      </c>
      <c r="C110" s="3" t="str">
        <f>TEXT(Fruits_Vendor[[#This Row],[Order_Date]],"mmmm")</f>
        <v>April</v>
      </c>
      <c r="D110" s="3" t="str">
        <f>TEXT(Fruits_Vendor[[#This Row],[Order_Date]],"yyyy")</f>
        <v>2023</v>
      </c>
      <c r="E110">
        <v>2270</v>
      </c>
      <c r="F110" t="s">
        <v>16</v>
      </c>
      <c r="G110" t="s">
        <v>22</v>
      </c>
      <c r="H110" t="s">
        <v>26</v>
      </c>
      <c r="I110" t="s">
        <v>31</v>
      </c>
      <c r="J110">
        <v>13</v>
      </c>
      <c r="K110">
        <v>4.33</v>
      </c>
      <c r="L110">
        <v>0.19</v>
      </c>
      <c r="M110" t="s">
        <v>34</v>
      </c>
      <c r="N110" t="s">
        <v>39</v>
      </c>
      <c r="O110">
        <v>2</v>
      </c>
      <c r="P110">
        <v>3</v>
      </c>
      <c r="Q110">
        <v>45.594900000000003</v>
      </c>
    </row>
    <row r="111" spans="1:17" x14ac:dyDescent="0.25">
      <c r="A111">
        <v>1110</v>
      </c>
      <c r="B111" s="3">
        <v>45036</v>
      </c>
      <c r="C111" s="3" t="str">
        <f>TEXT(Fruits_Vendor[[#This Row],[Order_Date]],"mmmm")</f>
        <v>April</v>
      </c>
      <c r="D111" s="3" t="str">
        <f>TEXT(Fruits_Vendor[[#This Row],[Order_Date]],"yyyy")</f>
        <v>2023</v>
      </c>
      <c r="E111">
        <v>2455</v>
      </c>
      <c r="F111" t="s">
        <v>17</v>
      </c>
      <c r="G111" t="s">
        <v>19</v>
      </c>
      <c r="H111" t="s">
        <v>27</v>
      </c>
      <c r="I111" t="s">
        <v>33</v>
      </c>
      <c r="J111">
        <v>17</v>
      </c>
      <c r="K111">
        <v>3.52</v>
      </c>
      <c r="L111">
        <v>0.04</v>
      </c>
      <c r="M111" t="s">
        <v>37</v>
      </c>
      <c r="N111" t="s">
        <v>39</v>
      </c>
      <c r="O111">
        <v>3</v>
      </c>
      <c r="P111">
        <v>4.2</v>
      </c>
      <c r="Q111">
        <v>57.446399999999997</v>
      </c>
    </row>
    <row r="112" spans="1:17" x14ac:dyDescent="0.25">
      <c r="A112">
        <v>1111</v>
      </c>
      <c r="B112" s="3">
        <v>45037</v>
      </c>
      <c r="C112" s="3" t="str">
        <f>TEXT(Fruits_Vendor[[#This Row],[Order_Date]],"mmmm")</f>
        <v>April</v>
      </c>
      <c r="D112" s="3" t="str">
        <f>TEXT(Fruits_Vendor[[#This Row],[Order_Date]],"yyyy")</f>
        <v>2023</v>
      </c>
      <c r="E112">
        <v>2461</v>
      </c>
      <c r="F112" t="s">
        <v>16</v>
      </c>
      <c r="G112" t="s">
        <v>20</v>
      </c>
      <c r="H112" t="s">
        <v>29</v>
      </c>
      <c r="I112" t="s">
        <v>32</v>
      </c>
      <c r="J112">
        <v>8</v>
      </c>
      <c r="K112">
        <v>4.1399999999999997</v>
      </c>
      <c r="L112">
        <v>0.11</v>
      </c>
      <c r="M112" t="s">
        <v>34</v>
      </c>
      <c r="N112" t="s">
        <v>39</v>
      </c>
      <c r="O112">
        <v>6</v>
      </c>
      <c r="P112">
        <v>3.7</v>
      </c>
      <c r="Q112">
        <v>29.476800000000001</v>
      </c>
    </row>
    <row r="113" spans="1:17" x14ac:dyDescent="0.25">
      <c r="A113">
        <v>1112</v>
      </c>
      <c r="B113" s="3">
        <v>45038</v>
      </c>
      <c r="C113" s="3" t="str">
        <f>TEXT(Fruits_Vendor[[#This Row],[Order_Date]],"mmmm")</f>
        <v>April</v>
      </c>
      <c r="D113" s="3" t="str">
        <f>TEXT(Fruits_Vendor[[#This Row],[Order_Date]],"yyyy")</f>
        <v>2023</v>
      </c>
      <c r="E113">
        <v>2726</v>
      </c>
      <c r="F113" t="s">
        <v>17</v>
      </c>
      <c r="G113" t="s">
        <v>19</v>
      </c>
      <c r="H113" t="s">
        <v>25</v>
      </c>
      <c r="I113" t="s">
        <v>33</v>
      </c>
      <c r="J113">
        <v>21</v>
      </c>
      <c r="K113">
        <v>3.95</v>
      </c>
      <c r="L113">
        <v>0.2</v>
      </c>
      <c r="M113" t="s">
        <v>37</v>
      </c>
      <c r="N113" t="s">
        <v>40</v>
      </c>
      <c r="O113">
        <v>6</v>
      </c>
      <c r="P113">
        <v>4.4000000000000004</v>
      </c>
      <c r="Q113">
        <v>66.36</v>
      </c>
    </row>
    <row r="114" spans="1:17" x14ac:dyDescent="0.25">
      <c r="A114">
        <v>1113</v>
      </c>
      <c r="B114" s="3">
        <v>45039</v>
      </c>
      <c r="C114" s="3" t="str">
        <f>TEXT(Fruits_Vendor[[#This Row],[Order_Date]],"mmmm")</f>
        <v>April</v>
      </c>
      <c r="D114" s="3" t="str">
        <f>TEXT(Fruits_Vendor[[#This Row],[Order_Date]],"yyyy")</f>
        <v>2023</v>
      </c>
      <c r="E114">
        <v>2251</v>
      </c>
      <c r="F114" t="s">
        <v>16</v>
      </c>
      <c r="G114" t="s">
        <v>22</v>
      </c>
      <c r="H114" t="s">
        <v>30</v>
      </c>
      <c r="I114" t="s">
        <v>33</v>
      </c>
      <c r="J114">
        <v>18</v>
      </c>
      <c r="K114">
        <v>1.17</v>
      </c>
      <c r="L114">
        <v>0.03</v>
      </c>
      <c r="M114" t="s">
        <v>35</v>
      </c>
      <c r="N114" t="s">
        <v>40</v>
      </c>
      <c r="O114">
        <v>2</v>
      </c>
      <c r="P114">
        <v>3.3</v>
      </c>
      <c r="Q114">
        <v>20.4282</v>
      </c>
    </row>
    <row r="115" spans="1:17" x14ac:dyDescent="0.25">
      <c r="A115">
        <v>1114</v>
      </c>
      <c r="B115" s="3">
        <v>45040</v>
      </c>
      <c r="C115" s="3" t="str">
        <f>TEXT(Fruits_Vendor[[#This Row],[Order_Date]],"mmmm")</f>
        <v>April</v>
      </c>
      <c r="D115" s="3" t="str">
        <f>TEXT(Fruits_Vendor[[#This Row],[Order_Date]],"yyyy")</f>
        <v>2023</v>
      </c>
      <c r="E115">
        <v>2701</v>
      </c>
      <c r="F115" t="s">
        <v>16</v>
      </c>
      <c r="G115" t="s">
        <v>22</v>
      </c>
      <c r="H115" t="s">
        <v>29</v>
      </c>
      <c r="I115" t="s">
        <v>31</v>
      </c>
      <c r="J115">
        <v>30</v>
      </c>
      <c r="K115">
        <v>2.41</v>
      </c>
      <c r="L115">
        <v>0.14000000000000001</v>
      </c>
      <c r="M115" t="s">
        <v>34</v>
      </c>
      <c r="N115" t="s">
        <v>38</v>
      </c>
      <c r="O115">
        <v>2</v>
      </c>
      <c r="P115">
        <v>4.7</v>
      </c>
      <c r="Q115">
        <v>62.178000000000011</v>
      </c>
    </row>
    <row r="116" spans="1:17" x14ac:dyDescent="0.25">
      <c r="A116">
        <v>1115</v>
      </c>
      <c r="B116" s="3">
        <v>45041</v>
      </c>
      <c r="C116" s="3" t="str">
        <f>TEXT(Fruits_Vendor[[#This Row],[Order_Date]],"mmmm")</f>
        <v>April</v>
      </c>
      <c r="D116" s="3" t="str">
        <f>TEXT(Fruits_Vendor[[#This Row],[Order_Date]],"yyyy")</f>
        <v>2023</v>
      </c>
      <c r="E116">
        <v>2295</v>
      </c>
      <c r="F116" t="s">
        <v>17</v>
      </c>
      <c r="G116" t="s">
        <v>19</v>
      </c>
      <c r="H116" t="s">
        <v>30</v>
      </c>
      <c r="I116" t="s">
        <v>31</v>
      </c>
      <c r="J116">
        <v>18</v>
      </c>
      <c r="K116">
        <v>1.19</v>
      </c>
      <c r="L116">
        <v>0.12</v>
      </c>
      <c r="M116" t="s">
        <v>36</v>
      </c>
      <c r="N116" t="s">
        <v>39</v>
      </c>
      <c r="O116">
        <v>6</v>
      </c>
      <c r="P116">
        <v>2.7</v>
      </c>
      <c r="Q116">
        <v>18.849599999999999</v>
      </c>
    </row>
    <row r="117" spans="1:17" x14ac:dyDescent="0.25">
      <c r="A117">
        <v>1116</v>
      </c>
      <c r="B117" s="3">
        <v>45042</v>
      </c>
      <c r="C117" s="3" t="str">
        <f>TEXT(Fruits_Vendor[[#This Row],[Order_Date]],"mmmm")</f>
        <v>April</v>
      </c>
      <c r="D117" s="3" t="str">
        <f>TEXT(Fruits_Vendor[[#This Row],[Order_Date]],"yyyy")</f>
        <v>2023</v>
      </c>
      <c r="E117">
        <v>2724</v>
      </c>
      <c r="F117" t="s">
        <v>17</v>
      </c>
      <c r="G117" t="s">
        <v>21</v>
      </c>
      <c r="H117" t="s">
        <v>26</v>
      </c>
      <c r="I117" t="s">
        <v>33</v>
      </c>
      <c r="J117">
        <v>46</v>
      </c>
      <c r="K117">
        <v>1.56</v>
      </c>
      <c r="L117">
        <v>0.12</v>
      </c>
      <c r="M117" t="s">
        <v>34</v>
      </c>
      <c r="N117" t="s">
        <v>40</v>
      </c>
      <c r="O117">
        <v>4</v>
      </c>
      <c r="P117">
        <v>4.5</v>
      </c>
      <c r="Q117">
        <v>63.148800000000001</v>
      </c>
    </row>
    <row r="118" spans="1:17" x14ac:dyDescent="0.25">
      <c r="A118">
        <v>1117</v>
      </c>
      <c r="B118" s="3">
        <v>45043</v>
      </c>
      <c r="C118" s="3" t="str">
        <f>TEXT(Fruits_Vendor[[#This Row],[Order_Date]],"mmmm")</f>
        <v>April</v>
      </c>
      <c r="D118" s="3" t="str">
        <f>TEXT(Fruits_Vendor[[#This Row],[Order_Date]],"yyyy")</f>
        <v>2023</v>
      </c>
      <c r="E118">
        <v>2719</v>
      </c>
      <c r="F118" t="s">
        <v>17</v>
      </c>
      <c r="G118" t="s">
        <v>24</v>
      </c>
      <c r="H118" t="s">
        <v>28</v>
      </c>
      <c r="I118" t="s">
        <v>31</v>
      </c>
      <c r="J118">
        <v>47</v>
      </c>
      <c r="K118">
        <v>4.41</v>
      </c>
      <c r="L118">
        <v>0.14000000000000001</v>
      </c>
      <c r="M118" t="s">
        <v>34</v>
      </c>
      <c r="N118" t="s">
        <v>39</v>
      </c>
      <c r="O118">
        <v>4</v>
      </c>
      <c r="P118">
        <v>4.7</v>
      </c>
      <c r="Q118">
        <v>178.25219999999999</v>
      </c>
    </row>
    <row r="119" spans="1:17" x14ac:dyDescent="0.25">
      <c r="A119">
        <v>1118</v>
      </c>
      <c r="B119" s="3">
        <v>45044</v>
      </c>
      <c r="C119" s="3" t="str">
        <f>TEXT(Fruits_Vendor[[#This Row],[Order_Date]],"mmmm")</f>
        <v>April</v>
      </c>
      <c r="D119" s="3" t="str">
        <f>TEXT(Fruits_Vendor[[#This Row],[Order_Date]],"yyyy")</f>
        <v>2023</v>
      </c>
      <c r="E119">
        <v>2748</v>
      </c>
      <c r="F119" t="s">
        <v>15</v>
      </c>
      <c r="G119" t="s">
        <v>21</v>
      </c>
      <c r="H119" t="s">
        <v>25</v>
      </c>
      <c r="I119" t="s">
        <v>32</v>
      </c>
      <c r="J119">
        <v>31</v>
      </c>
      <c r="K119">
        <v>2.63</v>
      </c>
      <c r="L119">
        <v>0.19</v>
      </c>
      <c r="M119" t="s">
        <v>37</v>
      </c>
      <c r="N119" t="s">
        <v>39</v>
      </c>
      <c r="O119">
        <v>3</v>
      </c>
      <c r="P119">
        <v>4.5</v>
      </c>
      <c r="Q119">
        <v>66.039300000000011</v>
      </c>
    </row>
    <row r="120" spans="1:17" x14ac:dyDescent="0.25">
      <c r="A120">
        <v>1119</v>
      </c>
      <c r="B120" s="3">
        <v>45045</v>
      </c>
      <c r="C120" s="3" t="str">
        <f>TEXT(Fruits_Vendor[[#This Row],[Order_Date]],"mmmm")</f>
        <v>April</v>
      </c>
      <c r="D120" s="3" t="str">
        <f>TEXT(Fruits_Vendor[[#This Row],[Order_Date]],"yyyy")</f>
        <v>2023</v>
      </c>
      <c r="E120">
        <v>2337</v>
      </c>
      <c r="F120" t="s">
        <v>18</v>
      </c>
      <c r="G120" t="s">
        <v>21</v>
      </c>
      <c r="H120" t="s">
        <v>26</v>
      </c>
      <c r="I120" t="s">
        <v>32</v>
      </c>
      <c r="J120">
        <v>38</v>
      </c>
      <c r="K120">
        <v>2.91</v>
      </c>
      <c r="L120">
        <v>0.16</v>
      </c>
      <c r="M120" t="s">
        <v>34</v>
      </c>
      <c r="N120" t="s">
        <v>38</v>
      </c>
      <c r="O120">
        <v>5</v>
      </c>
      <c r="P120">
        <v>3.8</v>
      </c>
      <c r="Q120">
        <v>92.887200000000007</v>
      </c>
    </row>
    <row r="121" spans="1:17" x14ac:dyDescent="0.25">
      <c r="A121">
        <v>1120</v>
      </c>
      <c r="B121" s="3">
        <v>45046</v>
      </c>
      <c r="C121" s="3" t="str">
        <f>TEXT(Fruits_Vendor[[#This Row],[Order_Date]],"mmmm")</f>
        <v>April</v>
      </c>
      <c r="D121" s="3" t="str">
        <f>TEXT(Fruits_Vendor[[#This Row],[Order_Date]],"yyyy")</f>
        <v>2023</v>
      </c>
      <c r="E121">
        <v>2878</v>
      </c>
      <c r="F121" t="s">
        <v>15</v>
      </c>
      <c r="G121" t="s">
        <v>23</v>
      </c>
      <c r="H121" t="s">
        <v>29</v>
      </c>
      <c r="I121" t="s">
        <v>31</v>
      </c>
      <c r="J121">
        <v>32</v>
      </c>
      <c r="K121">
        <v>1.3</v>
      </c>
      <c r="L121">
        <v>0.01</v>
      </c>
      <c r="M121" t="s">
        <v>36</v>
      </c>
      <c r="N121" t="s">
        <v>38</v>
      </c>
      <c r="O121">
        <v>3</v>
      </c>
      <c r="P121">
        <v>3.6</v>
      </c>
      <c r="Q121">
        <v>41.183999999999997</v>
      </c>
    </row>
    <row r="122" spans="1:17" x14ac:dyDescent="0.25">
      <c r="A122">
        <v>1121</v>
      </c>
      <c r="B122" s="3">
        <v>45047</v>
      </c>
      <c r="C122" s="3" t="str">
        <f>TEXT(Fruits_Vendor[[#This Row],[Order_Date]],"mmmm")</f>
        <v>May</v>
      </c>
      <c r="D122" s="3" t="str">
        <f>TEXT(Fruits_Vendor[[#This Row],[Order_Date]],"yyyy")</f>
        <v>2023</v>
      </c>
      <c r="E122">
        <v>2052</v>
      </c>
      <c r="F122" t="s">
        <v>15</v>
      </c>
      <c r="G122" t="s">
        <v>21</v>
      </c>
      <c r="H122" t="s">
        <v>29</v>
      </c>
      <c r="I122" t="s">
        <v>32</v>
      </c>
      <c r="J122">
        <v>11</v>
      </c>
      <c r="K122">
        <v>1.91</v>
      </c>
      <c r="L122">
        <v>0.17</v>
      </c>
      <c r="M122" t="s">
        <v>37</v>
      </c>
      <c r="N122" t="s">
        <v>38</v>
      </c>
      <c r="O122">
        <v>5</v>
      </c>
      <c r="P122">
        <v>5</v>
      </c>
      <c r="Q122">
        <v>17.438300000000002</v>
      </c>
    </row>
    <row r="123" spans="1:17" x14ac:dyDescent="0.25">
      <c r="A123">
        <v>1122</v>
      </c>
      <c r="B123" s="3">
        <v>45048</v>
      </c>
      <c r="C123" s="3" t="str">
        <f>TEXT(Fruits_Vendor[[#This Row],[Order_Date]],"mmmm")</f>
        <v>May</v>
      </c>
      <c r="D123" s="3" t="str">
        <f>TEXT(Fruits_Vendor[[#This Row],[Order_Date]],"yyyy")</f>
        <v>2023</v>
      </c>
      <c r="E123">
        <v>2791</v>
      </c>
      <c r="F123" t="s">
        <v>16</v>
      </c>
      <c r="G123" t="s">
        <v>20</v>
      </c>
      <c r="H123" t="s">
        <v>29</v>
      </c>
      <c r="I123" t="s">
        <v>31</v>
      </c>
      <c r="J123">
        <v>45</v>
      </c>
      <c r="K123">
        <v>1.54</v>
      </c>
      <c r="L123">
        <v>0.05</v>
      </c>
      <c r="M123" t="s">
        <v>37</v>
      </c>
      <c r="N123" t="s">
        <v>38</v>
      </c>
      <c r="O123">
        <v>2</v>
      </c>
      <c r="P123">
        <v>3.1</v>
      </c>
      <c r="Q123">
        <v>65.834999999999994</v>
      </c>
    </row>
    <row r="124" spans="1:17" x14ac:dyDescent="0.25">
      <c r="A124">
        <v>1123</v>
      </c>
      <c r="B124" s="3">
        <v>45049</v>
      </c>
      <c r="C124" s="3" t="str">
        <f>TEXT(Fruits_Vendor[[#This Row],[Order_Date]],"mmmm")</f>
        <v>May</v>
      </c>
      <c r="D124" s="3" t="str">
        <f>TEXT(Fruits_Vendor[[#This Row],[Order_Date]],"yyyy")</f>
        <v>2023</v>
      </c>
      <c r="E124">
        <v>2921</v>
      </c>
      <c r="F124" t="s">
        <v>17</v>
      </c>
      <c r="G124" t="s">
        <v>23</v>
      </c>
      <c r="H124" t="s">
        <v>29</v>
      </c>
      <c r="I124" t="s">
        <v>33</v>
      </c>
      <c r="J124">
        <v>25</v>
      </c>
      <c r="K124">
        <v>1.43</v>
      </c>
      <c r="L124">
        <v>0.08</v>
      </c>
      <c r="M124" t="s">
        <v>35</v>
      </c>
      <c r="N124" t="s">
        <v>39</v>
      </c>
      <c r="O124">
        <v>1</v>
      </c>
      <c r="P124">
        <v>3.9</v>
      </c>
      <c r="Q124">
        <v>32.89</v>
      </c>
    </row>
    <row r="125" spans="1:17" x14ac:dyDescent="0.25">
      <c r="A125">
        <v>1124</v>
      </c>
      <c r="B125" s="3">
        <v>45050</v>
      </c>
      <c r="C125" s="3" t="str">
        <f>TEXT(Fruits_Vendor[[#This Row],[Order_Date]],"mmmm")</f>
        <v>May</v>
      </c>
      <c r="D125" s="3" t="str">
        <f>TEXT(Fruits_Vendor[[#This Row],[Order_Date]],"yyyy")</f>
        <v>2023</v>
      </c>
      <c r="E125">
        <v>2216</v>
      </c>
      <c r="F125" t="s">
        <v>18</v>
      </c>
      <c r="G125" t="s">
        <v>23</v>
      </c>
      <c r="H125" t="s">
        <v>29</v>
      </c>
      <c r="I125" t="s">
        <v>33</v>
      </c>
      <c r="J125">
        <v>33</v>
      </c>
      <c r="K125">
        <v>3.37</v>
      </c>
      <c r="L125">
        <v>0.09</v>
      </c>
      <c r="M125" t="s">
        <v>35</v>
      </c>
      <c r="N125" t="s">
        <v>38</v>
      </c>
      <c r="O125">
        <v>3</v>
      </c>
      <c r="P125">
        <v>4.2</v>
      </c>
      <c r="Q125">
        <v>101.2011</v>
      </c>
    </row>
    <row r="126" spans="1:17" x14ac:dyDescent="0.25">
      <c r="A126">
        <v>1125</v>
      </c>
      <c r="B126" s="3">
        <v>45051</v>
      </c>
      <c r="C126" s="3" t="str">
        <f>TEXT(Fruits_Vendor[[#This Row],[Order_Date]],"mmmm")</f>
        <v>May</v>
      </c>
      <c r="D126" s="3" t="str">
        <f>TEXT(Fruits_Vendor[[#This Row],[Order_Date]],"yyyy")</f>
        <v>2023</v>
      </c>
      <c r="E126">
        <v>2763</v>
      </c>
      <c r="F126" t="s">
        <v>16</v>
      </c>
      <c r="G126" t="s">
        <v>22</v>
      </c>
      <c r="H126" t="s">
        <v>30</v>
      </c>
      <c r="I126" t="s">
        <v>32</v>
      </c>
      <c r="J126">
        <v>38</v>
      </c>
      <c r="K126">
        <v>1.66</v>
      </c>
      <c r="L126">
        <v>0.1</v>
      </c>
      <c r="M126" t="s">
        <v>34</v>
      </c>
      <c r="N126" t="s">
        <v>38</v>
      </c>
      <c r="O126">
        <v>3</v>
      </c>
      <c r="P126">
        <v>4.3</v>
      </c>
      <c r="Q126">
        <v>56.771999999999998</v>
      </c>
    </row>
    <row r="127" spans="1:17" x14ac:dyDescent="0.25">
      <c r="A127">
        <v>1126</v>
      </c>
      <c r="B127" s="3">
        <v>45052</v>
      </c>
      <c r="C127" s="3" t="str">
        <f>TEXT(Fruits_Vendor[[#This Row],[Order_Date]],"mmmm")</f>
        <v>May</v>
      </c>
      <c r="D127" s="3" t="str">
        <f>TEXT(Fruits_Vendor[[#This Row],[Order_Date]],"yyyy")</f>
        <v>2023</v>
      </c>
      <c r="E127">
        <v>2187</v>
      </c>
      <c r="F127" t="s">
        <v>15</v>
      </c>
      <c r="G127" t="s">
        <v>21</v>
      </c>
      <c r="H127" t="s">
        <v>26</v>
      </c>
      <c r="I127" t="s">
        <v>31</v>
      </c>
      <c r="J127">
        <v>41</v>
      </c>
      <c r="K127">
        <v>3.34</v>
      </c>
      <c r="L127">
        <v>0.09</v>
      </c>
      <c r="M127" t="s">
        <v>35</v>
      </c>
      <c r="N127" t="s">
        <v>38</v>
      </c>
      <c r="O127">
        <v>5</v>
      </c>
      <c r="P127">
        <v>3</v>
      </c>
      <c r="Q127">
        <v>124.61539999999999</v>
      </c>
    </row>
    <row r="128" spans="1:17" x14ac:dyDescent="0.25">
      <c r="A128">
        <v>1127</v>
      </c>
      <c r="B128" s="3">
        <v>45053</v>
      </c>
      <c r="C128" s="3" t="str">
        <f>TEXT(Fruits_Vendor[[#This Row],[Order_Date]],"mmmm")</f>
        <v>May</v>
      </c>
      <c r="D128" s="3" t="str">
        <f>TEXT(Fruits_Vendor[[#This Row],[Order_Date]],"yyyy")</f>
        <v>2023</v>
      </c>
      <c r="E128">
        <v>2379</v>
      </c>
      <c r="F128" t="s">
        <v>17</v>
      </c>
      <c r="G128" t="s">
        <v>22</v>
      </c>
      <c r="H128" t="s">
        <v>25</v>
      </c>
      <c r="I128" t="s">
        <v>31</v>
      </c>
      <c r="J128">
        <v>8</v>
      </c>
      <c r="K128">
        <v>0.76</v>
      </c>
      <c r="L128">
        <v>0.19</v>
      </c>
      <c r="M128" t="s">
        <v>35</v>
      </c>
      <c r="N128" t="s">
        <v>38</v>
      </c>
      <c r="O128">
        <v>2</v>
      </c>
      <c r="P128">
        <v>4.0999999999999996</v>
      </c>
      <c r="Q128">
        <v>4.9248000000000003</v>
      </c>
    </row>
    <row r="129" spans="1:17" x14ac:dyDescent="0.25">
      <c r="A129">
        <v>1128</v>
      </c>
      <c r="B129" s="3">
        <v>45054</v>
      </c>
      <c r="C129" s="3" t="str">
        <f>TEXT(Fruits_Vendor[[#This Row],[Order_Date]],"mmmm")</f>
        <v>May</v>
      </c>
      <c r="D129" s="3" t="str">
        <f>TEXT(Fruits_Vendor[[#This Row],[Order_Date]],"yyyy")</f>
        <v>2023</v>
      </c>
      <c r="E129">
        <v>2492</v>
      </c>
      <c r="F129" t="s">
        <v>16</v>
      </c>
      <c r="G129" t="s">
        <v>19</v>
      </c>
      <c r="H129" t="s">
        <v>28</v>
      </c>
      <c r="I129" t="s">
        <v>32</v>
      </c>
      <c r="J129">
        <v>11</v>
      </c>
      <c r="K129">
        <v>1.1399999999999999</v>
      </c>
      <c r="L129">
        <v>0.14000000000000001</v>
      </c>
      <c r="M129" t="s">
        <v>35</v>
      </c>
      <c r="N129" t="s">
        <v>39</v>
      </c>
      <c r="O129">
        <v>2</v>
      </c>
      <c r="P129">
        <v>4.5</v>
      </c>
      <c r="Q129">
        <v>10.7844</v>
      </c>
    </row>
    <row r="130" spans="1:17" x14ac:dyDescent="0.25">
      <c r="A130">
        <v>1129</v>
      </c>
      <c r="B130" s="3">
        <v>45055</v>
      </c>
      <c r="C130" s="3" t="str">
        <f>TEXT(Fruits_Vendor[[#This Row],[Order_Date]],"mmmm")</f>
        <v>May</v>
      </c>
      <c r="D130" s="3" t="str">
        <f>TEXT(Fruits_Vendor[[#This Row],[Order_Date]],"yyyy")</f>
        <v>2023</v>
      </c>
      <c r="E130">
        <v>2040</v>
      </c>
      <c r="F130" t="s">
        <v>17</v>
      </c>
      <c r="G130" t="s">
        <v>24</v>
      </c>
      <c r="H130" t="s">
        <v>28</v>
      </c>
      <c r="I130" t="s">
        <v>33</v>
      </c>
      <c r="J130">
        <v>22</v>
      </c>
      <c r="K130">
        <v>1.74</v>
      </c>
      <c r="L130">
        <v>0.13</v>
      </c>
      <c r="M130" t="s">
        <v>37</v>
      </c>
      <c r="N130" t="s">
        <v>38</v>
      </c>
      <c r="O130">
        <v>5</v>
      </c>
      <c r="P130">
        <v>2.6</v>
      </c>
      <c r="Q130">
        <v>33.303600000000003</v>
      </c>
    </row>
    <row r="131" spans="1:17" x14ac:dyDescent="0.25">
      <c r="A131">
        <v>1130</v>
      </c>
      <c r="B131" s="3">
        <v>45056</v>
      </c>
      <c r="C131" s="3" t="str">
        <f>TEXT(Fruits_Vendor[[#This Row],[Order_Date]],"mmmm")</f>
        <v>May</v>
      </c>
      <c r="D131" s="3" t="str">
        <f>TEXT(Fruits_Vendor[[#This Row],[Order_Date]],"yyyy")</f>
        <v>2023</v>
      </c>
      <c r="E131">
        <v>2156</v>
      </c>
      <c r="F131" t="s">
        <v>16</v>
      </c>
      <c r="G131" t="s">
        <v>23</v>
      </c>
      <c r="H131" t="s">
        <v>26</v>
      </c>
      <c r="I131" t="s">
        <v>32</v>
      </c>
      <c r="J131">
        <v>24</v>
      </c>
      <c r="K131">
        <v>3.19</v>
      </c>
      <c r="L131">
        <v>0.01</v>
      </c>
      <c r="M131" t="s">
        <v>37</v>
      </c>
      <c r="N131" t="s">
        <v>39</v>
      </c>
      <c r="O131">
        <v>2</v>
      </c>
      <c r="P131">
        <v>4.8</v>
      </c>
      <c r="Q131">
        <v>75.794399999999996</v>
      </c>
    </row>
    <row r="132" spans="1:17" x14ac:dyDescent="0.25">
      <c r="A132">
        <v>1131</v>
      </c>
      <c r="B132" s="3">
        <v>45057</v>
      </c>
      <c r="C132" s="3" t="str">
        <f>TEXT(Fruits_Vendor[[#This Row],[Order_Date]],"mmmm")</f>
        <v>May</v>
      </c>
      <c r="D132" s="3" t="str">
        <f>TEXT(Fruits_Vendor[[#This Row],[Order_Date]],"yyyy")</f>
        <v>2023</v>
      </c>
      <c r="E132">
        <v>2014</v>
      </c>
      <c r="F132" t="s">
        <v>17</v>
      </c>
      <c r="G132" t="s">
        <v>19</v>
      </c>
      <c r="H132" t="s">
        <v>26</v>
      </c>
      <c r="I132" t="s">
        <v>33</v>
      </c>
      <c r="J132">
        <v>41</v>
      </c>
      <c r="K132">
        <v>3.54</v>
      </c>
      <c r="L132">
        <v>0.18</v>
      </c>
      <c r="M132" t="s">
        <v>37</v>
      </c>
      <c r="N132" t="s">
        <v>40</v>
      </c>
      <c r="O132">
        <v>6</v>
      </c>
      <c r="P132">
        <v>2.6</v>
      </c>
      <c r="Q132">
        <v>119.01479999999999</v>
      </c>
    </row>
    <row r="133" spans="1:17" x14ac:dyDescent="0.25">
      <c r="A133">
        <v>1132</v>
      </c>
      <c r="B133" s="3">
        <v>45058</v>
      </c>
      <c r="C133" s="3" t="str">
        <f>TEXT(Fruits_Vendor[[#This Row],[Order_Date]],"mmmm")</f>
        <v>May</v>
      </c>
      <c r="D133" s="3" t="str">
        <f>TEXT(Fruits_Vendor[[#This Row],[Order_Date]],"yyyy")</f>
        <v>2023</v>
      </c>
      <c r="E133">
        <v>2812</v>
      </c>
      <c r="F133" t="s">
        <v>15</v>
      </c>
      <c r="G133" t="s">
        <v>19</v>
      </c>
      <c r="H133" t="s">
        <v>28</v>
      </c>
      <c r="I133" t="s">
        <v>31</v>
      </c>
      <c r="J133">
        <v>17</v>
      </c>
      <c r="K133">
        <v>2.4900000000000002</v>
      </c>
      <c r="L133">
        <v>0.18</v>
      </c>
      <c r="M133" t="s">
        <v>35</v>
      </c>
      <c r="N133" t="s">
        <v>39</v>
      </c>
      <c r="O133">
        <v>4</v>
      </c>
      <c r="P133">
        <v>3.4</v>
      </c>
      <c r="Q133">
        <v>34.710600000000007</v>
      </c>
    </row>
    <row r="134" spans="1:17" x14ac:dyDescent="0.25">
      <c r="A134">
        <v>1133</v>
      </c>
      <c r="B134" s="3">
        <v>45059</v>
      </c>
      <c r="C134" s="3" t="str">
        <f>TEXT(Fruits_Vendor[[#This Row],[Order_Date]],"mmmm")</f>
        <v>May</v>
      </c>
      <c r="D134" s="3" t="str">
        <f>TEXT(Fruits_Vendor[[#This Row],[Order_Date]],"yyyy")</f>
        <v>2023</v>
      </c>
      <c r="E134">
        <v>2064</v>
      </c>
      <c r="F134" t="s">
        <v>18</v>
      </c>
      <c r="G134" t="s">
        <v>20</v>
      </c>
      <c r="H134" t="s">
        <v>28</v>
      </c>
      <c r="I134" t="s">
        <v>33</v>
      </c>
      <c r="J134">
        <v>12</v>
      </c>
      <c r="K134">
        <v>2.5099999999999998</v>
      </c>
      <c r="L134">
        <v>0.16</v>
      </c>
      <c r="M134" t="s">
        <v>37</v>
      </c>
      <c r="N134" t="s">
        <v>39</v>
      </c>
      <c r="O134">
        <v>6</v>
      </c>
      <c r="P134">
        <v>2.5</v>
      </c>
      <c r="Q134">
        <v>25.300799999999999</v>
      </c>
    </row>
    <row r="135" spans="1:17" x14ac:dyDescent="0.25">
      <c r="A135">
        <v>1134</v>
      </c>
      <c r="B135" s="3">
        <v>45060</v>
      </c>
      <c r="C135" s="3" t="str">
        <f>TEXT(Fruits_Vendor[[#This Row],[Order_Date]],"mmmm")</f>
        <v>May</v>
      </c>
      <c r="D135" s="3" t="str">
        <f>TEXT(Fruits_Vendor[[#This Row],[Order_Date]],"yyyy")</f>
        <v>2023</v>
      </c>
      <c r="E135">
        <v>2856</v>
      </c>
      <c r="F135" t="s">
        <v>15</v>
      </c>
      <c r="G135" t="s">
        <v>24</v>
      </c>
      <c r="H135" t="s">
        <v>30</v>
      </c>
      <c r="I135" t="s">
        <v>32</v>
      </c>
      <c r="J135">
        <v>46</v>
      </c>
      <c r="K135">
        <v>3.76</v>
      </c>
      <c r="L135">
        <v>0</v>
      </c>
      <c r="M135" t="s">
        <v>35</v>
      </c>
      <c r="N135" t="s">
        <v>38</v>
      </c>
      <c r="O135">
        <v>1</v>
      </c>
      <c r="P135">
        <v>2.7</v>
      </c>
      <c r="Q135">
        <v>172.96</v>
      </c>
    </row>
    <row r="136" spans="1:17" x14ac:dyDescent="0.25">
      <c r="A136">
        <v>1135</v>
      </c>
      <c r="B136" s="3">
        <v>45061</v>
      </c>
      <c r="C136" s="3" t="str">
        <f>TEXT(Fruits_Vendor[[#This Row],[Order_Date]],"mmmm")</f>
        <v>May</v>
      </c>
      <c r="D136" s="3" t="str">
        <f>TEXT(Fruits_Vendor[[#This Row],[Order_Date]],"yyyy")</f>
        <v>2023</v>
      </c>
      <c r="E136">
        <v>2838</v>
      </c>
      <c r="F136" t="s">
        <v>18</v>
      </c>
      <c r="G136" t="s">
        <v>19</v>
      </c>
      <c r="H136" t="s">
        <v>27</v>
      </c>
      <c r="I136" t="s">
        <v>31</v>
      </c>
      <c r="J136">
        <v>32</v>
      </c>
      <c r="K136">
        <v>0.56999999999999995</v>
      </c>
      <c r="L136">
        <v>0.01</v>
      </c>
      <c r="M136" t="s">
        <v>37</v>
      </c>
      <c r="N136" t="s">
        <v>40</v>
      </c>
      <c r="O136">
        <v>3</v>
      </c>
      <c r="P136">
        <v>4.8</v>
      </c>
      <c r="Q136">
        <v>18.057600000000001</v>
      </c>
    </row>
    <row r="137" spans="1:17" x14ac:dyDescent="0.25">
      <c r="A137">
        <v>1136</v>
      </c>
      <c r="B137" s="3">
        <v>45062</v>
      </c>
      <c r="C137" s="3" t="str">
        <f>TEXT(Fruits_Vendor[[#This Row],[Order_Date]],"mmmm")</f>
        <v>May</v>
      </c>
      <c r="D137" s="3" t="str">
        <f>TEXT(Fruits_Vendor[[#This Row],[Order_Date]],"yyyy")</f>
        <v>2023</v>
      </c>
      <c r="E137">
        <v>2520</v>
      </c>
      <c r="F137" t="s">
        <v>17</v>
      </c>
      <c r="G137" t="s">
        <v>19</v>
      </c>
      <c r="H137" t="s">
        <v>25</v>
      </c>
      <c r="I137" t="s">
        <v>32</v>
      </c>
      <c r="J137">
        <v>15</v>
      </c>
      <c r="K137">
        <v>2.0299999999999998</v>
      </c>
      <c r="L137">
        <v>0.05</v>
      </c>
      <c r="M137" t="s">
        <v>37</v>
      </c>
      <c r="N137" t="s">
        <v>40</v>
      </c>
      <c r="O137">
        <v>1</v>
      </c>
      <c r="P137">
        <v>3.4</v>
      </c>
      <c r="Q137">
        <v>28.927499999999991</v>
      </c>
    </row>
    <row r="138" spans="1:17" x14ac:dyDescent="0.25">
      <c r="A138">
        <v>1137</v>
      </c>
      <c r="B138" s="3">
        <v>45063</v>
      </c>
      <c r="C138" s="3" t="str">
        <f>TEXT(Fruits_Vendor[[#This Row],[Order_Date]],"mmmm")</f>
        <v>May</v>
      </c>
      <c r="D138" s="3" t="str">
        <f>TEXT(Fruits_Vendor[[#This Row],[Order_Date]],"yyyy")</f>
        <v>2023</v>
      </c>
      <c r="E138">
        <v>2343</v>
      </c>
      <c r="F138" t="s">
        <v>16</v>
      </c>
      <c r="G138" t="s">
        <v>24</v>
      </c>
      <c r="H138" t="s">
        <v>29</v>
      </c>
      <c r="I138" t="s">
        <v>32</v>
      </c>
      <c r="J138">
        <v>16</v>
      </c>
      <c r="K138">
        <v>4.18</v>
      </c>
      <c r="L138">
        <v>0.03</v>
      </c>
      <c r="M138" t="s">
        <v>36</v>
      </c>
      <c r="N138" t="s">
        <v>40</v>
      </c>
      <c r="O138">
        <v>3</v>
      </c>
      <c r="P138">
        <v>3.6</v>
      </c>
      <c r="Q138">
        <v>64.873599999999996</v>
      </c>
    </row>
    <row r="139" spans="1:17" x14ac:dyDescent="0.25">
      <c r="A139">
        <v>1138</v>
      </c>
      <c r="B139" s="3">
        <v>45064</v>
      </c>
      <c r="C139" s="3" t="str">
        <f>TEXT(Fruits_Vendor[[#This Row],[Order_Date]],"mmmm")</f>
        <v>May</v>
      </c>
      <c r="D139" s="3" t="str">
        <f>TEXT(Fruits_Vendor[[#This Row],[Order_Date]],"yyyy")</f>
        <v>2023</v>
      </c>
      <c r="E139">
        <v>2128</v>
      </c>
      <c r="F139" t="s">
        <v>15</v>
      </c>
      <c r="G139" t="s">
        <v>24</v>
      </c>
      <c r="H139" t="s">
        <v>27</v>
      </c>
      <c r="I139" t="s">
        <v>33</v>
      </c>
      <c r="J139">
        <v>22</v>
      </c>
      <c r="K139">
        <v>3.21</v>
      </c>
      <c r="L139">
        <v>0.08</v>
      </c>
      <c r="M139" t="s">
        <v>34</v>
      </c>
      <c r="N139" t="s">
        <v>40</v>
      </c>
      <c r="O139">
        <v>4</v>
      </c>
      <c r="P139">
        <v>3</v>
      </c>
      <c r="Q139">
        <v>64.970400000000012</v>
      </c>
    </row>
    <row r="140" spans="1:17" x14ac:dyDescent="0.25">
      <c r="A140">
        <v>1139</v>
      </c>
      <c r="B140" s="3">
        <v>45065</v>
      </c>
      <c r="C140" s="3" t="str">
        <f>TEXT(Fruits_Vendor[[#This Row],[Order_Date]],"mmmm")</f>
        <v>May</v>
      </c>
      <c r="D140" s="3" t="str">
        <f>TEXT(Fruits_Vendor[[#This Row],[Order_Date]],"yyyy")</f>
        <v>2023</v>
      </c>
      <c r="E140">
        <v>2647</v>
      </c>
      <c r="F140" t="s">
        <v>18</v>
      </c>
      <c r="G140" t="s">
        <v>19</v>
      </c>
      <c r="H140" t="s">
        <v>26</v>
      </c>
      <c r="I140" t="s">
        <v>32</v>
      </c>
      <c r="J140">
        <v>28</v>
      </c>
      <c r="K140">
        <v>2.02</v>
      </c>
      <c r="L140">
        <v>0.18</v>
      </c>
      <c r="M140" t="s">
        <v>35</v>
      </c>
      <c r="N140" t="s">
        <v>39</v>
      </c>
      <c r="O140">
        <v>2</v>
      </c>
      <c r="P140">
        <v>4</v>
      </c>
      <c r="Q140">
        <v>46.379199999999997</v>
      </c>
    </row>
    <row r="141" spans="1:17" x14ac:dyDescent="0.25">
      <c r="A141">
        <v>1140</v>
      </c>
      <c r="B141" s="3">
        <v>45066</v>
      </c>
      <c r="C141" s="3" t="str">
        <f>TEXT(Fruits_Vendor[[#This Row],[Order_Date]],"mmmm")</f>
        <v>May</v>
      </c>
      <c r="D141" s="3" t="str">
        <f>TEXT(Fruits_Vendor[[#This Row],[Order_Date]],"yyyy")</f>
        <v>2023</v>
      </c>
      <c r="E141">
        <v>2471</v>
      </c>
      <c r="F141" t="s">
        <v>15</v>
      </c>
      <c r="G141" t="s">
        <v>24</v>
      </c>
      <c r="H141" t="s">
        <v>28</v>
      </c>
      <c r="I141" t="s">
        <v>33</v>
      </c>
      <c r="J141">
        <v>20</v>
      </c>
      <c r="K141">
        <v>4.57</v>
      </c>
      <c r="L141">
        <v>0.09</v>
      </c>
      <c r="M141" t="s">
        <v>36</v>
      </c>
      <c r="N141" t="s">
        <v>40</v>
      </c>
      <c r="O141">
        <v>6</v>
      </c>
      <c r="P141">
        <v>4</v>
      </c>
      <c r="Q141">
        <v>83.174000000000007</v>
      </c>
    </row>
    <row r="142" spans="1:17" x14ac:dyDescent="0.25">
      <c r="A142">
        <v>1141</v>
      </c>
      <c r="B142" s="3">
        <v>45067</v>
      </c>
      <c r="C142" s="3" t="str">
        <f>TEXT(Fruits_Vendor[[#This Row],[Order_Date]],"mmmm")</f>
        <v>May</v>
      </c>
      <c r="D142" s="3" t="str">
        <f>TEXT(Fruits_Vendor[[#This Row],[Order_Date]],"yyyy")</f>
        <v>2023</v>
      </c>
      <c r="E142">
        <v>2062</v>
      </c>
      <c r="F142" t="s">
        <v>18</v>
      </c>
      <c r="G142" t="s">
        <v>19</v>
      </c>
      <c r="H142" t="s">
        <v>27</v>
      </c>
      <c r="I142" t="s">
        <v>31</v>
      </c>
      <c r="J142">
        <v>33</v>
      </c>
      <c r="K142">
        <v>3.98</v>
      </c>
      <c r="L142">
        <v>0</v>
      </c>
      <c r="M142" t="s">
        <v>37</v>
      </c>
      <c r="N142" t="s">
        <v>39</v>
      </c>
      <c r="O142">
        <v>5</v>
      </c>
      <c r="P142">
        <v>3.4</v>
      </c>
      <c r="Q142">
        <v>131.34</v>
      </c>
    </row>
    <row r="143" spans="1:17" x14ac:dyDescent="0.25">
      <c r="A143">
        <v>1142</v>
      </c>
      <c r="B143" s="3">
        <v>45068</v>
      </c>
      <c r="C143" s="3" t="str">
        <f>TEXT(Fruits_Vendor[[#This Row],[Order_Date]],"mmmm")</f>
        <v>May</v>
      </c>
      <c r="D143" s="3" t="str">
        <f>TEXT(Fruits_Vendor[[#This Row],[Order_Date]],"yyyy")</f>
        <v>2023</v>
      </c>
      <c r="E143">
        <v>2138</v>
      </c>
      <c r="F143" t="s">
        <v>15</v>
      </c>
      <c r="G143" t="s">
        <v>19</v>
      </c>
      <c r="H143" t="s">
        <v>25</v>
      </c>
      <c r="I143" t="s">
        <v>33</v>
      </c>
      <c r="J143">
        <v>10</v>
      </c>
      <c r="K143">
        <v>1.69</v>
      </c>
      <c r="L143">
        <v>0.06</v>
      </c>
      <c r="M143" t="s">
        <v>35</v>
      </c>
      <c r="N143" t="s">
        <v>39</v>
      </c>
      <c r="O143">
        <v>6</v>
      </c>
      <c r="P143">
        <v>3.3</v>
      </c>
      <c r="Q143">
        <v>15.885999999999999</v>
      </c>
    </row>
    <row r="144" spans="1:17" x14ac:dyDescent="0.25">
      <c r="A144">
        <v>1143</v>
      </c>
      <c r="B144" s="3">
        <v>45069</v>
      </c>
      <c r="C144" s="3" t="str">
        <f>TEXT(Fruits_Vendor[[#This Row],[Order_Date]],"mmmm")</f>
        <v>May</v>
      </c>
      <c r="D144" s="3" t="str">
        <f>TEXT(Fruits_Vendor[[#This Row],[Order_Date]],"yyyy")</f>
        <v>2023</v>
      </c>
      <c r="E144">
        <v>2498</v>
      </c>
      <c r="F144" t="s">
        <v>18</v>
      </c>
      <c r="G144" t="s">
        <v>20</v>
      </c>
      <c r="H144" t="s">
        <v>26</v>
      </c>
      <c r="I144" t="s">
        <v>31</v>
      </c>
      <c r="J144">
        <v>40</v>
      </c>
      <c r="K144">
        <v>3.4</v>
      </c>
      <c r="L144">
        <v>0.01</v>
      </c>
      <c r="M144" t="s">
        <v>37</v>
      </c>
      <c r="N144" t="s">
        <v>39</v>
      </c>
      <c r="O144">
        <v>4</v>
      </c>
      <c r="P144">
        <v>4.7</v>
      </c>
      <c r="Q144">
        <v>134.63999999999999</v>
      </c>
    </row>
    <row r="145" spans="1:17" x14ac:dyDescent="0.25">
      <c r="A145">
        <v>1144</v>
      </c>
      <c r="B145" s="3">
        <v>45070</v>
      </c>
      <c r="C145" s="3" t="str">
        <f>TEXT(Fruits_Vendor[[#This Row],[Order_Date]],"mmmm")</f>
        <v>May</v>
      </c>
      <c r="D145" s="3" t="str">
        <f>TEXT(Fruits_Vendor[[#This Row],[Order_Date]],"yyyy")</f>
        <v>2023</v>
      </c>
      <c r="E145">
        <v>2592</v>
      </c>
      <c r="F145" t="s">
        <v>18</v>
      </c>
      <c r="G145" t="s">
        <v>21</v>
      </c>
      <c r="H145" t="s">
        <v>29</v>
      </c>
      <c r="I145" t="s">
        <v>33</v>
      </c>
      <c r="J145">
        <v>32</v>
      </c>
      <c r="K145">
        <v>3.18</v>
      </c>
      <c r="L145">
        <v>0.01</v>
      </c>
      <c r="M145" t="s">
        <v>34</v>
      </c>
      <c r="N145" t="s">
        <v>40</v>
      </c>
      <c r="O145">
        <v>1</v>
      </c>
      <c r="P145">
        <v>3.5</v>
      </c>
      <c r="Q145">
        <v>100.7424</v>
      </c>
    </row>
    <row r="146" spans="1:17" x14ac:dyDescent="0.25">
      <c r="A146">
        <v>1145</v>
      </c>
      <c r="B146" s="3">
        <v>45071</v>
      </c>
      <c r="C146" s="3" t="str">
        <f>TEXT(Fruits_Vendor[[#This Row],[Order_Date]],"mmmm")</f>
        <v>May</v>
      </c>
      <c r="D146" s="3" t="str">
        <f>TEXT(Fruits_Vendor[[#This Row],[Order_Date]],"yyyy")</f>
        <v>2023</v>
      </c>
      <c r="E146">
        <v>2391</v>
      </c>
      <c r="F146" t="s">
        <v>17</v>
      </c>
      <c r="G146" t="s">
        <v>19</v>
      </c>
      <c r="H146" t="s">
        <v>29</v>
      </c>
      <c r="I146" t="s">
        <v>32</v>
      </c>
      <c r="J146">
        <v>33</v>
      </c>
      <c r="K146">
        <v>2.31</v>
      </c>
      <c r="L146">
        <v>0.06</v>
      </c>
      <c r="M146" t="s">
        <v>36</v>
      </c>
      <c r="N146" t="s">
        <v>38</v>
      </c>
      <c r="O146">
        <v>5</v>
      </c>
      <c r="P146">
        <v>3.7</v>
      </c>
      <c r="Q146">
        <v>71.656199999999998</v>
      </c>
    </row>
    <row r="147" spans="1:17" x14ac:dyDescent="0.25">
      <c r="A147">
        <v>1146</v>
      </c>
      <c r="B147" s="3">
        <v>45072</v>
      </c>
      <c r="C147" s="3" t="str">
        <f>TEXT(Fruits_Vendor[[#This Row],[Order_Date]],"mmmm")</f>
        <v>May</v>
      </c>
      <c r="D147" s="3" t="str">
        <f>TEXT(Fruits_Vendor[[#This Row],[Order_Date]],"yyyy")</f>
        <v>2023</v>
      </c>
      <c r="E147">
        <v>2674</v>
      </c>
      <c r="F147" t="s">
        <v>18</v>
      </c>
      <c r="G147" t="s">
        <v>22</v>
      </c>
      <c r="H147" t="s">
        <v>25</v>
      </c>
      <c r="I147" t="s">
        <v>33</v>
      </c>
      <c r="J147">
        <v>2</v>
      </c>
      <c r="K147">
        <v>2.15</v>
      </c>
      <c r="L147">
        <v>0.06</v>
      </c>
      <c r="M147" t="s">
        <v>34</v>
      </c>
      <c r="N147" t="s">
        <v>38</v>
      </c>
      <c r="O147">
        <v>2</v>
      </c>
      <c r="P147">
        <v>3.2</v>
      </c>
      <c r="Q147">
        <v>4.0419999999999998</v>
      </c>
    </row>
    <row r="148" spans="1:17" x14ac:dyDescent="0.25">
      <c r="A148">
        <v>1147</v>
      </c>
      <c r="B148" s="3">
        <v>45073</v>
      </c>
      <c r="C148" s="3" t="str">
        <f>TEXT(Fruits_Vendor[[#This Row],[Order_Date]],"mmmm")</f>
        <v>May</v>
      </c>
      <c r="D148" s="3" t="str">
        <f>TEXT(Fruits_Vendor[[#This Row],[Order_Date]],"yyyy")</f>
        <v>2023</v>
      </c>
      <c r="E148">
        <v>2418</v>
      </c>
      <c r="F148" t="s">
        <v>17</v>
      </c>
      <c r="G148" t="s">
        <v>23</v>
      </c>
      <c r="H148" t="s">
        <v>25</v>
      </c>
      <c r="I148" t="s">
        <v>33</v>
      </c>
      <c r="J148">
        <v>33</v>
      </c>
      <c r="K148">
        <v>2.0499999999999998</v>
      </c>
      <c r="L148">
        <v>0.16</v>
      </c>
      <c r="M148" t="s">
        <v>36</v>
      </c>
      <c r="N148" t="s">
        <v>40</v>
      </c>
      <c r="O148">
        <v>4</v>
      </c>
      <c r="P148">
        <v>4.5</v>
      </c>
      <c r="Q148">
        <v>56.825999999999993</v>
      </c>
    </row>
    <row r="149" spans="1:17" x14ac:dyDescent="0.25">
      <c r="A149">
        <v>1148</v>
      </c>
      <c r="B149" s="3">
        <v>45074</v>
      </c>
      <c r="C149" s="3" t="str">
        <f>TEXT(Fruits_Vendor[[#This Row],[Order_Date]],"mmmm")</f>
        <v>May</v>
      </c>
      <c r="D149" s="3" t="str">
        <f>TEXT(Fruits_Vendor[[#This Row],[Order_Date]],"yyyy")</f>
        <v>2023</v>
      </c>
      <c r="E149">
        <v>2288</v>
      </c>
      <c r="F149" t="s">
        <v>18</v>
      </c>
      <c r="G149" t="s">
        <v>21</v>
      </c>
      <c r="H149" t="s">
        <v>28</v>
      </c>
      <c r="I149" t="s">
        <v>31</v>
      </c>
      <c r="J149">
        <v>33</v>
      </c>
      <c r="K149">
        <v>3.28</v>
      </c>
      <c r="L149">
        <v>0.19</v>
      </c>
      <c r="M149" t="s">
        <v>37</v>
      </c>
      <c r="N149" t="s">
        <v>38</v>
      </c>
      <c r="O149">
        <v>5</v>
      </c>
      <c r="P149">
        <v>3.5</v>
      </c>
      <c r="Q149">
        <v>87.674400000000006</v>
      </c>
    </row>
    <row r="150" spans="1:17" x14ac:dyDescent="0.25">
      <c r="A150">
        <v>1149</v>
      </c>
      <c r="B150" s="3">
        <v>45075</v>
      </c>
      <c r="C150" s="3" t="str">
        <f>TEXT(Fruits_Vendor[[#This Row],[Order_Date]],"mmmm")</f>
        <v>May</v>
      </c>
      <c r="D150" s="3" t="str">
        <f>TEXT(Fruits_Vendor[[#This Row],[Order_Date]],"yyyy")</f>
        <v>2023</v>
      </c>
      <c r="E150">
        <v>2378</v>
      </c>
      <c r="F150" t="s">
        <v>16</v>
      </c>
      <c r="G150" t="s">
        <v>21</v>
      </c>
      <c r="H150" t="s">
        <v>29</v>
      </c>
      <c r="I150" t="s">
        <v>32</v>
      </c>
      <c r="J150">
        <v>41</v>
      </c>
      <c r="K150">
        <v>2.4900000000000002</v>
      </c>
      <c r="L150">
        <v>7.0000000000000007E-2</v>
      </c>
      <c r="M150" t="s">
        <v>34</v>
      </c>
      <c r="N150" t="s">
        <v>38</v>
      </c>
      <c r="O150">
        <v>4</v>
      </c>
      <c r="P150">
        <v>3.8</v>
      </c>
      <c r="Q150">
        <v>94.943699999999993</v>
      </c>
    </row>
    <row r="151" spans="1:17" x14ac:dyDescent="0.25">
      <c r="A151">
        <v>1150</v>
      </c>
      <c r="B151" s="3">
        <v>45076</v>
      </c>
      <c r="C151" s="3" t="str">
        <f>TEXT(Fruits_Vendor[[#This Row],[Order_Date]],"mmmm")</f>
        <v>May</v>
      </c>
      <c r="D151" s="3" t="str">
        <f>TEXT(Fruits_Vendor[[#This Row],[Order_Date]],"yyyy")</f>
        <v>2023</v>
      </c>
      <c r="E151">
        <v>2772</v>
      </c>
      <c r="F151" t="s">
        <v>16</v>
      </c>
      <c r="G151" t="s">
        <v>21</v>
      </c>
      <c r="H151" t="s">
        <v>26</v>
      </c>
      <c r="I151" t="s">
        <v>33</v>
      </c>
      <c r="J151">
        <v>13</v>
      </c>
      <c r="K151">
        <v>4.24</v>
      </c>
      <c r="L151">
        <v>0.09</v>
      </c>
      <c r="M151" t="s">
        <v>34</v>
      </c>
      <c r="N151" t="s">
        <v>39</v>
      </c>
      <c r="O151">
        <v>4</v>
      </c>
      <c r="P151">
        <v>3.1</v>
      </c>
      <c r="Q151">
        <v>50.159200000000013</v>
      </c>
    </row>
    <row r="152" spans="1:17" x14ac:dyDescent="0.25">
      <c r="A152">
        <v>1151</v>
      </c>
      <c r="B152" s="3">
        <v>45077</v>
      </c>
      <c r="C152" s="3" t="str">
        <f>TEXT(Fruits_Vendor[[#This Row],[Order_Date]],"mmmm")</f>
        <v>May</v>
      </c>
      <c r="D152" s="3" t="str">
        <f>TEXT(Fruits_Vendor[[#This Row],[Order_Date]],"yyyy")</f>
        <v>2023</v>
      </c>
      <c r="E152">
        <v>2489</v>
      </c>
      <c r="F152" t="s">
        <v>16</v>
      </c>
      <c r="G152" t="s">
        <v>20</v>
      </c>
      <c r="H152" t="s">
        <v>27</v>
      </c>
      <c r="I152" t="s">
        <v>32</v>
      </c>
      <c r="J152">
        <v>30</v>
      </c>
      <c r="K152">
        <v>3.51</v>
      </c>
      <c r="L152">
        <v>0.17</v>
      </c>
      <c r="M152" t="s">
        <v>37</v>
      </c>
      <c r="N152" t="s">
        <v>39</v>
      </c>
      <c r="O152">
        <v>2</v>
      </c>
      <c r="P152">
        <v>5</v>
      </c>
      <c r="Q152">
        <v>87.398999999999987</v>
      </c>
    </row>
    <row r="153" spans="1:17" x14ac:dyDescent="0.25">
      <c r="A153">
        <v>1152</v>
      </c>
      <c r="B153" s="3">
        <v>45078</v>
      </c>
      <c r="C153" s="3" t="str">
        <f>TEXT(Fruits_Vendor[[#This Row],[Order_Date]],"mmmm")</f>
        <v>June</v>
      </c>
      <c r="D153" s="3" t="str">
        <f>TEXT(Fruits_Vendor[[#This Row],[Order_Date]],"yyyy")</f>
        <v>2023</v>
      </c>
      <c r="E153">
        <v>2230</v>
      </c>
      <c r="F153" t="s">
        <v>18</v>
      </c>
      <c r="G153" t="s">
        <v>19</v>
      </c>
      <c r="H153" t="s">
        <v>26</v>
      </c>
      <c r="I153" t="s">
        <v>33</v>
      </c>
      <c r="J153">
        <v>33</v>
      </c>
      <c r="K153">
        <v>0.81</v>
      </c>
      <c r="L153">
        <v>0.05</v>
      </c>
      <c r="M153" t="s">
        <v>34</v>
      </c>
      <c r="N153" t="s">
        <v>40</v>
      </c>
      <c r="O153">
        <v>3</v>
      </c>
      <c r="P153">
        <v>3.2</v>
      </c>
      <c r="Q153">
        <v>25.3935</v>
      </c>
    </row>
    <row r="154" spans="1:17" x14ac:dyDescent="0.25">
      <c r="A154">
        <v>1153</v>
      </c>
      <c r="B154" s="3">
        <v>45079</v>
      </c>
      <c r="C154" s="3" t="str">
        <f>TEXT(Fruits_Vendor[[#This Row],[Order_Date]],"mmmm")</f>
        <v>June</v>
      </c>
      <c r="D154" s="3" t="str">
        <f>TEXT(Fruits_Vendor[[#This Row],[Order_Date]],"yyyy")</f>
        <v>2023</v>
      </c>
      <c r="E154">
        <v>2040</v>
      </c>
      <c r="F154" t="s">
        <v>17</v>
      </c>
      <c r="G154" t="s">
        <v>20</v>
      </c>
      <c r="H154" t="s">
        <v>30</v>
      </c>
      <c r="I154" t="s">
        <v>33</v>
      </c>
      <c r="J154">
        <v>13</v>
      </c>
      <c r="K154">
        <v>3.38</v>
      </c>
      <c r="L154">
        <v>0.03</v>
      </c>
      <c r="M154" t="s">
        <v>35</v>
      </c>
      <c r="N154" t="s">
        <v>40</v>
      </c>
      <c r="O154">
        <v>5</v>
      </c>
      <c r="P154">
        <v>4.4000000000000004</v>
      </c>
      <c r="Q154">
        <v>42.621799999999993</v>
      </c>
    </row>
    <row r="155" spans="1:17" x14ac:dyDescent="0.25">
      <c r="A155">
        <v>1154</v>
      </c>
      <c r="B155" s="3">
        <v>45080</v>
      </c>
      <c r="C155" s="3" t="str">
        <f>TEXT(Fruits_Vendor[[#This Row],[Order_Date]],"mmmm")</f>
        <v>June</v>
      </c>
      <c r="D155" s="3" t="str">
        <f>TEXT(Fruits_Vendor[[#This Row],[Order_Date]],"yyyy")</f>
        <v>2023</v>
      </c>
      <c r="E155">
        <v>2027</v>
      </c>
      <c r="F155" t="s">
        <v>17</v>
      </c>
      <c r="G155" t="s">
        <v>19</v>
      </c>
      <c r="H155" t="s">
        <v>30</v>
      </c>
      <c r="I155" t="s">
        <v>32</v>
      </c>
      <c r="J155">
        <v>26</v>
      </c>
      <c r="K155">
        <v>1.72</v>
      </c>
      <c r="L155">
        <v>0.17</v>
      </c>
      <c r="M155" t="s">
        <v>36</v>
      </c>
      <c r="N155" t="s">
        <v>38</v>
      </c>
      <c r="O155">
        <v>2</v>
      </c>
      <c r="P155">
        <v>3.6</v>
      </c>
      <c r="Q155">
        <v>37.117600000000003</v>
      </c>
    </row>
    <row r="156" spans="1:17" x14ac:dyDescent="0.25">
      <c r="A156">
        <v>1155</v>
      </c>
      <c r="B156" s="3">
        <v>45081</v>
      </c>
      <c r="C156" s="3" t="str">
        <f>TEXT(Fruits_Vendor[[#This Row],[Order_Date]],"mmmm")</f>
        <v>June</v>
      </c>
      <c r="D156" s="3" t="str">
        <f>TEXT(Fruits_Vendor[[#This Row],[Order_Date]],"yyyy")</f>
        <v>2023</v>
      </c>
      <c r="E156">
        <v>2134</v>
      </c>
      <c r="F156" t="s">
        <v>18</v>
      </c>
      <c r="G156" t="s">
        <v>20</v>
      </c>
      <c r="H156" t="s">
        <v>25</v>
      </c>
      <c r="I156" t="s">
        <v>33</v>
      </c>
      <c r="J156">
        <v>22</v>
      </c>
      <c r="K156">
        <v>3.17</v>
      </c>
      <c r="L156">
        <v>0.01</v>
      </c>
      <c r="M156" t="s">
        <v>36</v>
      </c>
      <c r="N156" t="s">
        <v>39</v>
      </c>
      <c r="O156">
        <v>4</v>
      </c>
      <c r="P156">
        <v>3</v>
      </c>
      <c r="Q156">
        <v>69.042599999999993</v>
      </c>
    </row>
    <row r="157" spans="1:17" x14ac:dyDescent="0.25">
      <c r="A157">
        <v>1156</v>
      </c>
      <c r="B157" s="3">
        <v>45082</v>
      </c>
      <c r="C157" s="3" t="str">
        <f>TEXT(Fruits_Vendor[[#This Row],[Order_Date]],"mmmm")</f>
        <v>June</v>
      </c>
      <c r="D157" s="3" t="str">
        <f>TEXT(Fruits_Vendor[[#This Row],[Order_Date]],"yyyy")</f>
        <v>2023</v>
      </c>
      <c r="E157">
        <v>2200</v>
      </c>
      <c r="F157" t="s">
        <v>16</v>
      </c>
      <c r="G157" t="s">
        <v>20</v>
      </c>
      <c r="H157" t="s">
        <v>28</v>
      </c>
      <c r="I157" t="s">
        <v>32</v>
      </c>
      <c r="J157">
        <v>39</v>
      </c>
      <c r="K157">
        <v>3.56</v>
      </c>
      <c r="L157">
        <v>0.12</v>
      </c>
      <c r="M157" t="s">
        <v>36</v>
      </c>
      <c r="N157" t="s">
        <v>40</v>
      </c>
      <c r="O157">
        <v>2</v>
      </c>
      <c r="P157">
        <v>4.5</v>
      </c>
      <c r="Q157">
        <v>122.17919999999999</v>
      </c>
    </row>
    <row r="158" spans="1:17" x14ac:dyDescent="0.25">
      <c r="A158">
        <v>1157</v>
      </c>
      <c r="B158" s="3">
        <v>45083</v>
      </c>
      <c r="C158" s="3" t="str">
        <f>TEXT(Fruits_Vendor[[#This Row],[Order_Date]],"mmmm")</f>
        <v>June</v>
      </c>
      <c r="D158" s="3" t="str">
        <f>TEXT(Fruits_Vendor[[#This Row],[Order_Date]],"yyyy")</f>
        <v>2023</v>
      </c>
      <c r="E158">
        <v>2839</v>
      </c>
      <c r="F158" t="s">
        <v>16</v>
      </c>
      <c r="G158" t="s">
        <v>23</v>
      </c>
      <c r="H158" t="s">
        <v>30</v>
      </c>
      <c r="I158" t="s">
        <v>33</v>
      </c>
      <c r="J158">
        <v>2</v>
      </c>
      <c r="K158">
        <v>1.54</v>
      </c>
      <c r="L158">
        <v>0.11</v>
      </c>
      <c r="M158" t="s">
        <v>35</v>
      </c>
      <c r="N158" t="s">
        <v>40</v>
      </c>
      <c r="O158">
        <v>3</v>
      </c>
      <c r="P158">
        <v>3.3</v>
      </c>
      <c r="Q158">
        <v>2.7412000000000001</v>
      </c>
    </row>
    <row r="159" spans="1:17" x14ac:dyDescent="0.25">
      <c r="A159">
        <v>1158</v>
      </c>
      <c r="B159" s="3">
        <v>45084</v>
      </c>
      <c r="C159" s="3" t="str">
        <f>TEXT(Fruits_Vendor[[#This Row],[Order_Date]],"mmmm")</f>
        <v>June</v>
      </c>
      <c r="D159" s="3" t="str">
        <f>TEXT(Fruits_Vendor[[#This Row],[Order_Date]],"yyyy")</f>
        <v>2023</v>
      </c>
      <c r="E159">
        <v>2779</v>
      </c>
      <c r="F159" t="s">
        <v>17</v>
      </c>
      <c r="G159" t="s">
        <v>22</v>
      </c>
      <c r="H159" t="s">
        <v>29</v>
      </c>
      <c r="I159" t="s">
        <v>31</v>
      </c>
      <c r="J159">
        <v>38</v>
      </c>
      <c r="K159">
        <v>2.56</v>
      </c>
      <c r="L159">
        <v>7.0000000000000007E-2</v>
      </c>
      <c r="M159" t="s">
        <v>36</v>
      </c>
      <c r="N159" t="s">
        <v>40</v>
      </c>
      <c r="O159">
        <v>6</v>
      </c>
      <c r="P159">
        <v>4.7</v>
      </c>
      <c r="Q159">
        <v>90.470399999999998</v>
      </c>
    </row>
    <row r="160" spans="1:17" x14ac:dyDescent="0.25">
      <c r="A160">
        <v>1159</v>
      </c>
      <c r="B160" s="3">
        <v>45085</v>
      </c>
      <c r="C160" s="3" t="str">
        <f>TEXT(Fruits_Vendor[[#This Row],[Order_Date]],"mmmm")</f>
        <v>June</v>
      </c>
      <c r="D160" s="3" t="str">
        <f>TEXT(Fruits_Vendor[[#This Row],[Order_Date]],"yyyy")</f>
        <v>2023</v>
      </c>
      <c r="E160">
        <v>2929</v>
      </c>
      <c r="F160" t="s">
        <v>16</v>
      </c>
      <c r="G160" t="s">
        <v>20</v>
      </c>
      <c r="H160" t="s">
        <v>26</v>
      </c>
      <c r="I160" t="s">
        <v>32</v>
      </c>
      <c r="J160">
        <v>39</v>
      </c>
      <c r="K160">
        <v>1.36</v>
      </c>
      <c r="L160">
        <v>0.06</v>
      </c>
      <c r="M160" t="s">
        <v>37</v>
      </c>
      <c r="N160" t="s">
        <v>40</v>
      </c>
      <c r="O160">
        <v>5</v>
      </c>
      <c r="P160">
        <v>4.8</v>
      </c>
      <c r="Q160">
        <v>49.857600000000012</v>
      </c>
    </row>
    <row r="161" spans="1:17" x14ac:dyDescent="0.25">
      <c r="A161">
        <v>1160</v>
      </c>
      <c r="B161" s="3">
        <v>45086</v>
      </c>
      <c r="C161" s="3" t="str">
        <f>TEXT(Fruits_Vendor[[#This Row],[Order_Date]],"mmmm")</f>
        <v>June</v>
      </c>
      <c r="D161" s="3" t="str">
        <f>TEXT(Fruits_Vendor[[#This Row],[Order_Date]],"yyyy")</f>
        <v>2023</v>
      </c>
      <c r="E161">
        <v>2032</v>
      </c>
      <c r="F161" t="s">
        <v>15</v>
      </c>
      <c r="G161" t="s">
        <v>23</v>
      </c>
      <c r="H161" t="s">
        <v>26</v>
      </c>
      <c r="I161" t="s">
        <v>33</v>
      </c>
      <c r="J161">
        <v>26</v>
      </c>
      <c r="K161">
        <v>0.74</v>
      </c>
      <c r="L161">
        <v>0.15</v>
      </c>
      <c r="M161" t="s">
        <v>34</v>
      </c>
      <c r="N161" t="s">
        <v>40</v>
      </c>
      <c r="O161">
        <v>3</v>
      </c>
      <c r="P161">
        <v>4.5999999999999996</v>
      </c>
      <c r="Q161">
        <v>16.353999999999999</v>
      </c>
    </row>
    <row r="162" spans="1:17" x14ac:dyDescent="0.25">
      <c r="A162">
        <v>1161</v>
      </c>
      <c r="B162" s="3">
        <v>45087</v>
      </c>
      <c r="C162" s="3" t="str">
        <f>TEXT(Fruits_Vendor[[#This Row],[Order_Date]],"mmmm")</f>
        <v>June</v>
      </c>
      <c r="D162" s="3" t="str">
        <f>TEXT(Fruits_Vendor[[#This Row],[Order_Date]],"yyyy")</f>
        <v>2023</v>
      </c>
      <c r="E162">
        <v>2047</v>
      </c>
      <c r="F162" t="s">
        <v>17</v>
      </c>
      <c r="G162" t="s">
        <v>24</v>
      </c>
      <c r="H162" t="s">
        <v>25</v>
      </c>
      <c r="I162" t="s">
        <v>33</v>
      </c>
      <c r="J162">
        <v>46</v>
      </c>
      <c r="K162">
        <v>2.2000000000000002</v>
      </c>
      <c r="L162">
        <v>0.02</v>
      </c>
      <c r="M162" t="s">
        <v>35</v>
      </c>
      <c r="N162" t="s">
        <v>40</v>
      </c>
      <c r="O162">
        <v>1</v>
      </c>
      <c r="P162">
        <v>2.6</v>
      </c>
      <c r="Q162">
        <v>99.176000000000002</v>
      </c>
    </row>
    <row r="163" spans="1:17" x14ac:dyDescent="0.25">
      <c r="A163">
        <v>1162</v>
      </c>
      <c r="B163" s="3">
        <v>45088</v>
      </c>
      <c r="C163" s="3" t="str">
        <f>TEXT(Fruits_Vendor[[#This Row],[Order_Date]],"mmmm")</f>
        <v>June</v>
      </c>
      <c r="D163" s="3" t="str">
        <f>TEXT(Fruits_Vendor[[#This Row],[Order_Date]],"yyyy")</f>
        <v>2023</v>
      </c>
      <c r="E163">
        <v>2502</v>
      </c>
      <c r="F163" t="s">
        <v>16</v>
      </c>
      <c r="G163" t="s">
        <v>22</v>
      </c>
      <c r="H163" t="s">
        <v>27</v>
      </c>
      <c r="I163" t="s">
        <v>31</v>
      </c>
      <c r="J163">
        <v>15</v>
      </c>
      <c r="K163">
        <v>2.13</v>
      </c>
      <c r="L163">
        <v>0.05</v>
      </c>
      <c r="M163" t="s">
        <v>36</v>
      </c>
      <c r="N163" t="s">
        <v>38</v>
      </c>
      <c r="O163">
        <v>5</v>
      </c>
      <c r="P163">
        <v>4.5</v>
      </c>
      <c r="Q163">
        <v>30.352499999999999</v>
      </c>
    </row>
    <row r="164" spans="1:17" x14ac:dyDescent="0.25">
      <c r="A164">
        <v>1163</v>
      </c>
      <c r="B164" s="3">
        <v>45089</v>
      </c>
      <c r="C164" s="3" t="str">
        <f>TEXT(Fruits_Vendor[[#This Row],[Order_Date]],"mmmm")</f>
        <v>June</v>
      </c>
      <c r="D164" s="3" t="str">
        <f>TEXT(Fruits_Vendor[[#This Row],[Order_Date]],"yyyy")</f>
        <v>2023</v>
      </c>
      <c r="E164">
        <v>2406</v>
      </c>
      <c r="F164" t="s">
        <v>17</v>
      </c>
      <c r="G164" t="s">
        <v>20</v>
      </c>
      <c r="H164" t="s">
        <v>25</v>
      </c>
      <c r="I164" t="s">
        <v>32</v>
      </c>
      <c r="J164">
        <v>34</v>
      </c>
      <c r="K164">
        <v>4.9800000000000004</v>
      </c>
      <c r="L164">
        <v>0.15</v>
      </c>
      <c r="M164" t="s">
        <v>37</v>
      </c>
      <c r="N164" t="s">
        <v>39</v>
      </c>
      <c r="O164">
        <v>3</v>
      </c>
      <c r="P164">
        <v>3.5</v>
      </c>
      <c r="Q164">
        <v>143.922</v>
      </c>
    </row>
    <row r="165" spans="1:17" x14ac:dyDescent="0.25">
      <c r="A165">
        <v>1164</v>
      </c>
      <c r="B165" s="3">
        <v>45090</v>
      </c>
      <c r="C165" s="3" t="str">
        <f>TEXT(Fruits_Vendor[[#This Row],[Order_Date]],"mmmm")</f>
        <v>June</v>
      </c>
      <c r="D165" s="3" t="str">
        <f>TEXT(Fruits_Vendor[[#This Row],[Order_Date]],"yyyy")</f>
        <v>2023</v>
      </c>
      <c r="E165">
        <v>2573</v>
      </c>
      <c r="F165" t="s">
        <v>15</v>
      </c>
      <c r="G165" t="s">
        <v>21</v>
      </c>
      <c r="H165" t="s">
        <v>27</v>
      </c>
      <c r="I165" t="s">
        <v>33</v>
      </c>
      <c r="J165">
        <v>42</v>
      </c>
      <c r="K165">
        <v>2.5099999999999998</v>
      </c>
      <c r="L165">
        <v>0.11</v>
      </c>
      <c r="M165" t="s">
        <v>34</v>
      </c>
      <c r="N165" t="s">
        <v>39</v>
      </c>
      <c r="O165">
        <v>4</v>
      </c>
      <c r="P165">
        <v>4.7</v>
      </c>
      <c r="Q165">
        <v>93.823799999999991</v>
      </c>
    </row>
    <row r="166" spans="1:17" x14ac:dyDescent="0.25">
      <c r="A166">
        <v>1165</v>
      </c>
      <c r="B166" s="3">
        <v>45091</v>
      </c>
      <c r="C166" s="3" t="str">
        <f>TEXT(Fruits_Vendor[[#This Row],[Order_Date]],"mmmm")</f>
        <v>June</v>
      </c>
      <c r="D166" s="3" t="str">
        <f>TEXT(Fruits_Vendor[[#This Row],[Order_Date]],"yyyy")</f>
        <v>2023</v>
      </c>
      <c r="E166">
        <v>2727</v>
      </c>
      <c r="F166" t="s">
        <v>17</v>
      </c>
      <c r="G166" t="s">
        <v>24</v>
      </c>
      <c r="H166" t="s">
        <v>25</v>
      </c>
      <c r="I166" t="s">
        <v>31</v>
      </c>
      <c r="J166">
        <v>44</v>
      </c>
      <c r="K166">
        <v>2</v>
      </c>
      <c r="L166">
        <v>0.03</v>
      </c>
      <c r="M166" t="s">
        <v>34</v>
      </c>
      <c r="N166" t="s">
        <v>40</v>
      </c>
      <c r="O166">
        <v>5</v>
      </c>
      <c r="P166">
        <v>4.0999999999999996</v>
      </c>
      <c r="Q166">
        <v>85.36</v>
      </c>
    </row>
    <row r="167" spans="1:17" x14ac:dyDescent="0.25">
      <c r="A167">
        <v>1166</v>
      </c>
      <c r="B167" s="3">
        <v>45092</v>
      </c>
      <c r="C167" s="3" t="str">
        <f>TEXT(Fruits_Vendor[[#This Row],[Order_Date]],"mmmm")</f>
        <v>June</v>
      </c>
      <c r="D167" s="3" t="str">
        <f>TEXT(Fruits_Vendor[[#This Row],[Order_Date]],"yyyy")</f>
        <v>2023</v>
      </c>
      <c r="E167">
        <v>2804</v>
      </c>
      <c r="F167" t="s">
        <v>17</v>
      </c>
      <c r="G167" t="s">
        <v>24</v>
      </c>
      <c r="H167" t="s">
        <v>25</v>
      </c>
      <c r="I167" t="s">
        <v>33</v>
      </c>
      <c r="J167">
        <v>49</v>
      </c>
      <c r="K167">
        <v>3.11</v>
      </c>
      <c r="L167">
        <v>0.18</v>
      </c>
      <c r="M167" t="s">
        <v>35</v>
      </c>
      <c r="N167" t="s">
        <v>39</v>
      </c>
      <c r="O167">
        <v>5</v>
      </c>
      <c r="P167">
        <v>4.5999999999999996</v>
      </c>
      <c r="Q167">
        <v>124.9598</v>
      </c>
    </row>
    <row r="168" spans="1:17" x14ac:dyDescent="0.25">
      <c r="A168">
        <v>1167</v>
      </c>
      <c r="B168" s="3">
        <v>45093</v>
      </c>
      <c r="C168" s="3" t="str">
        <f>TEXT(Fruits_Vendor[[#This Row],[Order_Date]],"mmmm")</f>
        <v>June</v>
      </c>
      <c r="D168" s="3" t="str">
        <f>TEXT(Fruits_Vendor[[#This Row],[Order_Date]],"yyyy")</f>
        <v>2023</v>
      </c>
      <c r="E168">
        <v>2098</v>
      </c>
      <c r="F168" t="s">
        <v>17</v>
      </c>
      <c r="G168" t="s">
        <v>23</v>
      </c>
      <c r="H168" t="s">
        <v>25</v>
      </c>
      <c r="I168" t="s">
        <v>32</v>
      </c>
      <c r="J168">
        <v>40</v>
      </c>
      <c r="K168">
        <v>0.9</v>
      </c>
      <c r="L168">
        <v>0.08</v>
      </c>
      <c r="M168" t="s">
        <v>35</v>
      </c>
      <c r="N168" t="s">
        <v>39</v>
      </c>
      <c r="O168">
        <v>2</v>
      </c>
      <c r="P168">
        <v>3.7</v>
      </c>
      <c r="Q168">
        <v>33.119999999999997</v>
      </c>
    </row>
    <row r="169" spans="1:17" x14ac:dyDescent="0.25">
      <c r="A169">
        <v>1168</v>
      </c>
      <c r="B169" s="3">
        <v>45094</v>
      </c>
      <c r="C169" s="3" t="str">
        <f>TEXT(Fruits_Vendor[[#This Row],[Order_Date]],"mmmm")</f>
        <v>June</v>
      </c>
      <c r="D169" s="3" t="str">
        <f>TEXT(Fruits_Vendor[[#This Row],[Order_Date]],"yyyy")</f>
        <v>2023</v>
      </c>
      <c r="E169">
        <v>2683</v>
      </c>
      <c r="F169" t="s">
        <v>17</v>
      </c>
      <c r="G169" t="s">
        <v>24</v>
      </c>
      <c r="H169" t="s">
        <v>27</v>
      </c>
      <c r="I169" t="s">
        <v>33</v>
      </c>
      <c r="J169">
        <v>11</v>
      </c>
      <c r="K169">
        <v>4.83</v>
      </c>
      <c r="L169">
        <v>0.17</v>
      </c>
      <c r="M169" t="s">
        <v>35</v>
      </c>
      <c r="N169" t="s">
        <v>39</v>
      </c>
      <c r="O169">
        <v>4</v>
      </c>
      <c r="P169">
        <v>3.8</v>
      </c>
      <c r="Q169">
        <v>44.097900000000003</v>
      </c>
    </row>
    <row r="170" spans="1:17" x14ac:dyDescent="0.25">
      <c r="A170">
        <v>1169</v>
      </c>
      <c r="B170" s="3">
        <v>45095</v>
      </c>
      <c r="C170" s="3" t="str">
        <f>TEXT(Fruits_Vendor[[#This Row],[Order_Date]],"mmmm")</f>
        <v>June</v>
      </c>
      <c r="D170" s="3" t="str">
        <f>TEXT(Fruits_Vendor[[#This Row],[Order_Date]],"yyyy")</f>
        <v>2023</v>
      </c>
      <c r="E170">
        <v>2871</v>
      </c>
      <c r="F170" t="s">
        <v>15</v>
      </c>
      <c r="G170" t="s">
        <v>22</v>
      </c>
      <c r="H170" t="s">
        <v>27</v>
      </c>
      <c r="I170" t="s">
        <v>33</v>
      </c>
      <c r="J170">
        <v>3</v>
      </c>
      <c r="K170">
        <v>3.36</v>
      </c>
      <c r="L170">
        <v>0.16</v>
      </c>
      <c r="M170" t="s">
        <v>37</v>
      </c>
      <c r="N170" t="s">
        <v>40</v>
      </c>
      <c r="O170">
        <v>1</v>
      </c>
      <c r="P170">
        <v>2.9</v>
      </c>
      <c r="Q170">
        <v>8.4672000000000001</v>
      </c>
    </row>
    <row r="171" spans="1:17" x14ac:dyDescent="0.25">
      <c r="A171">
        <v>1170</v>
      </c>
      <c r="B171" s="3">
        <v>45096</v>
      </c>
      <c r="C171" s="3" t="str">
        <f>TEXT(Fruits_Vendor[[#This Row],[Order_Date]],"mmmm")</f>
        <v>June</v>
      </c>
      <c r="D171" s="3" t="str">
        <f>TEXT(Fruits_Vendor[[#This Row],[Order_Date]],"yyyy")</f>
        <v>2023</v>
      </c>
      <c r="E171">
        <v>2725</v>
      </c>
      <c r="F171" t="s">
        <v>18</v>
      </c>
      <c r="G171" t="s">
        <v>20</v>
      </c>
      <c r="H171" t="s">
        <v>25</v>
      </c>
      <c r="I171" t="s">
        <v>33</v>
      </c>
      <c r="J171">
        <v>6</v>
      </c>
      <c r="K171">
        <v>3.9</v>
      </c>
      <c r="L171">
        <v>0.12</v>
      </c>
      <c r="M171" t="s">
        <v>37</v>
      </c>
      <c r="N171" t="s">
        <v>40</v>
      </c>
      <c r="O171">
        <v>6</v>
      </c>
      <c r="P171">
        <v>4.5</v>
      </c>
      <c r="Q171">
        <v>20.591999999999999</v>
      </c>
    </row>
    <row r="172" spans="1:17" x14ac:dyDescent="0.25">
      <c r="A172">
        <v>1171</v>
      </c>
      <c r="B172" s="3">
        <v>45097</v>
      </c>
      <c r="C172" s="3" t="str">
        <f>TEXT(Fruits_Vendor[[#This Row],[Order_Date]],"mmmm")</f>
        <v>June</v>
      </c>
      <c r="D172" s="3" t="str">
        <f>TEXT(Fruits_Vendor[[#This Row],[Order_Date]],"yyyy")</f>
        <v>2023</v>
      </c>
      <c r="E172">
        <v>2986</v>
      </c>
      <c r="F172" t="s">
        <v>17</v>
      </c>
      <c r="G172" t="s">
        <v>20</v>
      </c>
      <c r="H172" t="s">
        <v>30</v>
      </c>
      <c r="I172" t="s">
        <v>33</v>
      </c>
      <c r="J172">
        <v>9</v>
      </c>
      <c r="K172">
        <v>1.27</v>
      </c>
      <c r="L172">
        <v>0.1</v>
      </c>
      <c r="M172" t="s">
        <v>35</v>
      </c>
      <c r="N172" t="s">
        <v>39</v>
      </c>
      <c r="O172">
        <v>3</v>
      </c>
      <c r="P172">
        <v>3.5</v>
      </c>
      <c r="Q172">
        <v>10.287000000000001</v>
      </c>
    </row>
    <row r="173" spans="1:17" x14ac:dyDescent="0.25">
      <c r="A173">
        <v>1172</v>
      </c>
      <c r="B173" s="3">
        <v>45098</v>
      </c>
      <c r="C173" s="3" t="str">
        <f>TEXT(Fruits_Vendor[[#This Row],[Order_Date]],"mmmm")</f>
        <v>June</v>
      </c>
      <c r="D173" s="3" t="str">
        <f>TEXT(Fruits_Vendor[[#This Row],[Order_Date]],"yyyy")</f>
        <v>2023</v>
      </c>
      <c r="E173">
        <v>2546</v>
      </c>
      <c r="F173" t="s">
        <v>17</v>
      </c>
      <c r="G173" t="s">
        <v>21</v>
      </c>
      <c r="H173" t="s">
        <v>28</v>
      </c>
      <c r="I173" t="s">
        <v>31</v>
      </c>
      <c r="J173">
        <v>6</v>
      </c>
      <c r="K173">
        <v>2.34</v>
      </c>
      <c r="L173">
        <v>0.2</v>
      </c>
      <c r="M173" t="s">
        <v>36</v>
      </c>
      <c r="N173" t="s">
        <v>39</v>
      </c>
      <c r="O173">
        <v>2</v>
      </c>
      <c r="P173">
        <v>3.8</v>
      </c>
      <c r="Q173">
        <v>11.231999999999999</v>
      </c>
    </row>
    <row r="174" spans="1:17" x14ac:dyDescent="0.25">
      <c r="A174">
        <v>1173</v>
      </c>
      <c r="B174" s="3">
        <v>45099</v>
      </c>
      <c r="C174" s="3" t="str">
        <f>TEXT(Fruits_Vendor[[#This Row],[Order_Date]],"mmmm")</f>
        <v>June</v>
      </c>
      <c r="D174" s="3" t="str">
        <f>TEXT(Fruits_Vendor[[#This Row],[Order_Date]],"yyyy")</f>
        <v>2023</v>
      </c>
      <c r="E174">
        <v>2960</v>
      </c>
      <c r="F174" t="s">
        <v>16</v>
      </c>
      <c r="G174" t="s">
        <v>23</v>
      </c>
      <c r="H174" t="s">
        <v>28</v>
      </c>
      <c r="I174" t="s">
        <v>31</v>
      </c>
      <c r="J174">
        <v>9</v>
      </c>
      <c r="K174">
        <v>2.4</v>
      </c>
      <c r="L174">
        <v>0.03</v>
      </c>
      <c r="M174" t="s">
        <v>34</v>
      </c>
      <c r="N174" t="s">
        <v>40</v>
      </c>
      <c r="O174">
        <v>3</v>
      </c>
      <c r="P174">
        <v>4.5</v>
      </c>
      <c r="Q174">
        <v>20.952000000000002</v>
      </c>
    </row>
    <row r="175" spans="1:17" x14ac:dyDescent="0.25">
      <c r="A175">
        <v>1174</v>
      </c>
      <c r="B175" s="3">
        <v>45100</v>
      </c>
      <c r="C175" s="3" t="str">
        <f>TEXT(Fruits_Vendor[[#This Row],[Order_Date]],"mmmm")</f>
        <v>June</v>
      </c>
      <c r="D175" s="3" t="str">
        <f>TEXT(Fruits_Vendor[[#This Row],[Order_Date]],"yyyy")</f>
        <v>2023</v>
      </c>
      <c r="E175">
        <v>2738</v>
      </c>
      <c r="F175" t="s">
        <v>17</v>
      </c>
      <c r="G175" t="s">
        <v>21</v>
      </c>
      <c r="H175" t="s">
        <v>28</v>
      </c>
      <c r="I175" t="s">
        <v>32</v>
      </c>
      <c r="J175">
        <v>39</v>
      </c>
      <c r="K175">
        <v>4.2</v>
      </c>
      <c r="L175">
        <v>0.15</v>
      </c>
      <c r="M175" t="s">
        <v>34</v>
      </c>
      <c r="N175" t="s">
        <v>38</v>
      </c>
      <c r="O175">
        <v>1</v>
      </c>
      <c r="P175">
        <v>4</v>
      </c>
      <c r="Q175">
        <v>139.22999999999999</v>
      </c>
    </row>
    <row r="176" spans="1:17" x14ac:dyDescent="0.25">
      <c r="A176">
        <v>1175</v>
      </c>
      <c r="B176" s="3">
        <v>45101</v>
      </c>
      <c r="C176" s="3" t="str">
        <f>TEXT(Fruits_Vendor[[#This Row],[Order_Date]],"mmmm")</f>
        <v>June</v>
      </c>
      <c r="D176" s="3" t="str">
        <f>TEXT(Fruits_Vendor[[#This Row],[Order_Date]],"yyyy")</f>
        <v>2023</v>
      </c>
      <c r="E176">
        <v>2612</v>
      </c>
      <c r="F176" t="s">
        <v>16</v>
      </c>
      <c r="G176" t="s">
        <v>24</v>
      </c>
      <c r="H176" t="s">
        <v>27</v>
      </c>
      <c r="I176" t="s">
        <v>31</v>
      </c>
      <c r="J176">
        <v>31</v>
      </c>
      <c r="K176">
        <v>0.51</v>
      </c>
      <c r="L176">
        <v>0.04</v>
      </c>
      <c r="M176" t="s">
        <v>37</v>
      </c>
      <c r="N176" t="s">
        <v>39</v>
      </c>
      <c r="O176">
        <v>1</v>
      </c>
      <c r="P176">
        <v>3</v>
      </c>
      <c r="Q176">
        <v>15.1776</v>
      </c>
    </row>
    <row r="177" spans="1:17" x14ac:dyDescent="0.25">
      <c r="A177">
        <v>1176</v>
      </c>
      <c r="B177" s="3">
        <v>45102</v>
      </c>
      <c r="C177" s="3" t="str">
        <f>TEXT(Fruits_Vendor[[#This Row],[Order_Date]],"mmmm")</f>
        <v>June</v>
      </c>
      <c r="D177" s="3" t="str">
        <f>TEXT(Fruits_Vendor[[#This Row],[Order_Date]],"yyyy")</f>
        <v>2023</v>
      </c>
      <c r="E177">
        <v>2942</v>
      </c>
      <c r="F177" t="s">
        <v>18</v>
      </c>
      <c r="G177" t="s">
        <v>21</v>
      </c>
      <c r="H177" t="s">
        <v>27</v>
      </c>
      <c r="I177" t="s">
        <v>31</v>
      </c>
      <c r="J177">
        <v>32</v>
      </c>
      <c r="K177">
        <v>1.85</v>
      </c>
      <c r="L177">
        <v>7.0000000000000007E-2</v>
      </c>
      <c r="M177" t="s">
        <v>34</v>
      </c>
      <c r="N177" t="s">
        <v>38</v>
      </c>
      <c r="O177">
        <v>5</v>
      </c>
      <c r="P177">
        <v>4</v>
      </c>
      <c r="Q177">
        <v>55.055999999999997</v>
      </c>
    </row>
    <row r="178" spans="1:17" x14ac:dyDescent="0.25">
      <c r="A178">
        <v>1177</v>
      </c>
      <c r="B178" s="3">
        <v>45103</v>
      </c>
      <c r="C178" s="3" t="str">
        <f>TEXT(Fruits_Vendor[[#This Row],[Order_Date]],"mmmm")</f>
        <v>June</v>
      </c>
      <c r="D178" s="3" t="str">
        <f>TEXT(Fruits_Vendor[[#This Row],[Order_Date]],"yyyy")</f>
        <v>2023</v>
      </c>
      <c r="E178">
        <v>2461</v>
      </c>
      <c r="F178" t="s">
        <v>15</v>
      </c>
      <c r="G178" t="s">
        <v>22</v>
      </c>
      <c r="H178" t="s">
        <v>30</v>
      </c>
      <c r="I178" t="s">
        <v>32</v>
      </c>
      <c r="J178">
        <v>41</v>
      </c>
      <c r="K178">
        <v>4.92</v>
      </c>
      <c r="L178">
        <v>0.06</v>
      </c>
      <c r="M178" t="s">
        <v>36</v>
      </c>
      <c r="N178" t="s">
        <v>39</v>
      </c>
      <c r="O178">
        <v>1</v>
      </c>
      <c r="P178">
        <v>3.5</v>
      </c>
      <c r="Q178">
        <v>189.61680000000001</v>
      </c>
    </row>
    <row r="179" spans="1:17" x14ac:dyDescent="0.25">
      <c r="A179">
        <v>1178</v>
      </c>
      <c r="B179" s="3">
        <v>45104</v>
      </c>
      <c r="C179" s="3" t="str">
        <f>TEXT(Fruits_Vendor[[#This Row],[Order_Date]],"mmmm")</f>
        <v>June</v>
      </c>
      <c r="D179" s="3" t="str">
        <f>TEXT(Fruits_Vendor[[#This Row],[Order_Date]],"yyyy")</f>
        <v>2023</v>
      </c>
      <c r="E179">
        <v>2642</v>
      </c>
      <c r="F179" t="s">
        <v>15</v>
      </c>
      <c r="G179" t="s">
        <v>20</v>
      </c>
      <c r="H179" t="s">
        <v>28</v>
      </c>
      <c r="I179" t="s">
        <v>31</v>
      </c>
      <c r="J179">
        <v>12</v>
      </c>
      <c r="K179">
        <v>2.64</v>
      </c>
      <c r="L179">
        <v>0.19</v>
      </c>
      <c r="M179" t="s">
        <v>34</v>
      </c>
      <c r="N179" t="s">
        <v>38</v>
      </c>
      <c r="O179">
        <v>3</v>
      </c>
      <c r="P179">
        <v>3.7</v>
      </c>
      <c r="Q179">
        <v>25.660799999999998</v>
      </c>
    </row>
    <row r="180" spans="1:17" x14ac:dyDescent="0.25">
      <c r="A180">
        <v>1179</v>
      </c>
      <c r="B180" s="3">
        <v>45105</v>
      </c>
      <c r="C180" s="3" t="str">
        <f>TEXT(Fruits_Vendor[[#This Row],[Order_Date]],"mmmm")</f>
        <v>June</v>
      </c>
      <c r="D180" s="3" t="str">
        <f>TEXT(Fruits_Vendor[[#This Row],[Order_Date]],"yyyy")</f>
        <v>2023</v>
      </c>
      <c r="E180">
        <v>2768</v>
      </c>
      <c r="F180" t="s">
        <v>18</v>
      </c>
      <c r="G180" t="s">
        <v>24</v>
      </c>
      <c r="H180" t="s">
        <v>28</v>
      </c>
      <c r="I180" t="s">
        <v>31</v>
      </c>
      <c r="J180">
        <v>8</v>
      </c>
      <c r="K180">
        <v>2.2200000000000002</v>
      </c>
      <c r="L180">
        <v>0.19</v>
      </c>
      <c r="M180" t="s">
        <v>37</v>
      </c>
      <c r="N180" t="s">
        <v>38</v>
      </c>
      <c r="O180">
        <v>4</v>
      </c>
      <c r="P180">
        <v>2.6</v>
      </c>
      <c r="Q180">
        <v>14.3856</v>
      </c>
    </row>
    <row r="181" spans="1:17" x14ac:dyDescent="0.25">
      <c r="A181">
        <v>1180</v>
      </c>
      <c r="B181" s="3">
        <v>45106</v>
      </c>
      <c r="C181" s="3" t="str">
        <f>TEXT(Fruits_Vendor[[#This Row],[Order_Date]],"mmmm")</f>
        <v>June</v>
      </c>
      <c r="D181" s="3" t="str">
        <f>TEXT(Fruits_Vendor[[#This Row],[Order_Date]],"yyyy")</f>
        <v>2023</v>
      </c>
      <c r="E181">
        <v>2004</v>
      </c>
      <c r="F181" t="s">
        <v>15</v>
      </c>
      <c r="G181" t="s">
        <v>21</v>
      </c>
      <c r="H181" t="s">
        <v>25</v>
      </c>
      <c r="I181" t="s">
        <v>32</v>
      </c>
      <c r="J181">
        <v>8</v>
      </c>
      <c r="K181">
        <v>1.04</v>
      </c>
      <c r="L181">
        <v>0.04</v>
      </c>
      <c r="M181" t="s">
        <v>37</v>
      </c>
      <c r="N181" t="s">
        <v>38</v>
      </c>
      <c r="O181">
        <v>4</v>
      </c>
      <c r="P181">
        <v>3</v>
      </c>
      <c r="Q181">
        <v>7.9871999999999996</v>
      </c>
    </row>
    <row r="182" spans="1:17" x14ac:dyDescent="0.25">
      <c r="A182">
        <v>1181</v>
      </c>
      <c r="B182" s="3">
        <v>45107</v>
      </c>
      <c r="C182" s="3" t="str">
        <f>TEXT(Fruits_Vendor[[#This Row],[Order_Date]],"mmmm")</f>
        <v>June</v>
      </c>
      <c r="D182" s="3" t="str">
        <f>TEXT(Fruits_Vendor[[#This Row],[Order_Date]],"yyyy")</f>
        <v>2023</v>
      </c>
      <c r="E182">
        <v>2217</v>
      </c>
      <c r="F182" t="s">
        <v>18</v>
      </c>
      <c r="G182" t="s">
        <v>23</v>
      </c>
      <c r="H182" t="s">
        <v>27</v>
      </c>
      <c r="I182" t="s">
        <v>32</v>
      </c>
      <c r="J182">
        <v>28</v>
      </c>
      <c r="K182">
        <v>4.88</v>
      </c>
      <c r="L182">
        <v>0</v>
      </c>
      <c r="M182" t="s">
        <v>36</v>
      </c>
      <c r="N182" t="s">
        <v>40</v>
      </c>
      <c r="O182">
        <v>5</v>
      </c>
      <c r="P182">
        <v>3.2</v>
      </c>
      <c r="Q182">
        <v>136.63999999999999</v>
      </c>
    </row>
    <row r="183" spans="1:17" x14ac:dyDescent="0.25">
      <c r="A183">
        <v>1182</v>
      </c>
      <c r="B183" s="3">
        <v>45108</v>
      </c>
      <c r="C183" s="3" t="str">
        <f>TEXT(Fruits_Vendor[[#This Row],[Order_Date]],"mmmm")</f>
        <v>July</v>
      </c>
      <c r="D183" s="3" t="str">
        <f>TEXT(Fruits_Vendor[[#This Row],[Order_Date]],"yyyy")</f>
        <v>2023</v>
      </c>
      <c r="E183">
        <v>2502</v>
      </c>
      <c r="F183" t="s">
        <v>18</v>
      </c>
      <c r="G183" t="s">
        <v>22</v>
      </c>
      <c r="H183" t="s">
        <v>28</v>
      </c>
      <c r="I183" t="s">
        <v>32</v>
      </c>
      <c r="J183">
        <v>20</v>
      </c>
      <c r="K183">
        <v>0.59</v>
      </c>
      <c r="L183">
        <v>0.14000000000000001</v>
      </c>
      <c r="M183" t="s">
        <v>36</v>
      </c>
      <c r="N183" t="s">
        <v>38</v>
      </c>
      <c r="O183">
        <v>6</v>
      </c>
      <c r="P183">
        <v>4.3</v>
      </c>
      <c r="Q183">
        <v>10.148</v>
      </c>
    </row>
    <row r="184" spans="1:17" x14ac:dyDescent="0.25">
      <c r="A184">
        <v>1183</v>
      </c>
      <c r="B184" s="3">
        <v>45109</v>
      </c>
      <c r="C184" s="3" t="str">
        <f>TEXT(Fruits_Vendor[[#This Row],[Order_Date]],"mmmm")</f>
        <v>July</v>
      </c>
      <c r="D184" s="3" t="str">
        <f>TEXT(Fruits_Vendor[[#This Row],[Order_Date]],"yyyy")</f>
        <v>2023</v>
      </c>
      <c r="E184">
        <v>2766</v>
      </c>
      <c r="F184" t="s">
        <v>18</v>
      </c>
      <c r="G184" t="s">
        <v>22</v>
      </c>
      <c r="H184" t="s">
        <v>26</v>
      </c>
      <c r="I184" t="s">
        <v>33</v>
      </c>
      <c r="J184">
        <v>47</v>
      </c>
      <c r="K184">
        <v>3.82</v>
      </c>
      <c r="L184">
        <v>0.08</v>
      </c>
      <c r="M184" t="s">
        <v>34</v>
      </c>
      <c r="N184" t="s">
        <v>38</v>
      </c>
      <c r="O184">
        <v>3</v>
      </c>
      <c r="P184">
        <v>2.5</v>
      </c>
      <c r="Q184">
        <v>165.17679999999999</v>
      </c>
    </row>
    <row r="185" spans="1:17" x14ac:dyDescent="0.25">
      <c r="A185">
        <v>1184</v>
      </c>
      <c r="B185" s="3">
        <v>45110</v>
      </c>
      <c r="C185" s="3" t="str">
        <f>TEXT(Fruits_Vendor[[#This Row],[Order_Date]],"mmmm")</f>
        <v>July</v>
      </c>
      <c r="D185" s="3" t="str">
        <f>TEXT(Fruits_Vendor[[#This Row],[Order_Date]],"yyyy")</f>
        <v>2023</v>
      </c>
      <c r="E185">
        <v>2397</v>
      </c>
      <c r="F185" t="s">
        <v>15</v>
      </c>
      <c r="G185" t="s">
        <v>21</v>
      </c>
      <c r="H185" t="s">
        <v>30</v>
      </c>
      <c r="I185" t="s">
        <v>33</v>
      </c>
      <c r="J185">
        <v>7</v>
      </c>
      <c r="K185">
        <v>3.96</v>
      </c>
      <c r="L185">
        <v>0.02</v>
      </c>
      <c r="M185" t="s">
        <v>34</v>
      </c>
      <c r="N185" t="s">
        <v>38</v>
      </c>
      <c r="O185">
        <v>3</v>
      </c>
      <c r="P185">
        <v>3.5</v>
      </c>
      <c r="Q185">
        <v>27.165600000000001</v>
      </c>
    </row>
    <row r="186" spans="1:17" x14ac:dyDescent="0.25">
      <c r="A186">
        <v>1185</v>
      </c>
      <c r="B186" s="3">
        <v>45111</v>
      </c>
      <c r="C186" s="3" t="str">
        <f>TEXT(Fruits_Vendor[[#This Row],[Order_Date]],"mmmm")</f>
        <v>July</v>
      </c>
      <c r="D186" s="3" t="str">
        <f>TEXT(Fruits_Vendor[[#This Row],[Order_Date]],"yyyy")</f>
        <v>2023</v>
      </c>
      <c r="E186">
        <v>2870</v>
      </c>
      <c r="F186" t="s">
        <v>16</v>
      </c>
      <c r="G186" t="s">
        <v>20</v>
      </c>
      <c r="H186" t="s">
        <v>26</v>
      </c>
      <c r="I186" t="s">
        <v>32</v>
      </c>
      <c r="J186">
        <v>11</v>
      </c>
      <c r="K186">
        <v>1.6</v>
      </c>
      <c r="L186">
        <v>0.14000000000000001</v>
      </c>
      <c r="M186" t="s">
        <v>37</v>
      </c>
      <c r="N186" t="s">
        <v>39</v>
      </c>
      <c r="O186">
        <v>1</v>
      </c>
      <c r="P186">
        <v>4.8</v>
      </c>
      <c r="Q186">
        <v>15.135999999999999</v>
      </c>
    </row>
    <row r="187" spans="1:17" x14ac:dyDescent="0.25">
      <c r="A187">
        <v>1186</v>
      </c>
      <c r="B187" s="3">
        <v>45112</v>
      </c>
      <c r="C187" s="3" t="str">
        <f>TEXT(Fruits_Vendor[[#This Row],[Order_Date]],"mmmm")</f>
        <v>July</v>
      </c>
      <c r="D187" s="3" t="str">
        <f>TEXT(Fruits_Vendor[[#This Row],[Order_Date]],"yyyy")</f>
        <v>2023</v>
      </c>
      <c r="E187">
        <v>2794</v>
      </c>
      <c r="F187" t="s">
        <v>18</v>
      </c>
      <c r="G187" t="s">
        <v>21</v>
      </c>
      <c r="H187" t="s">
        <v>26</v>
      </c>
      <c r="I187" t="s">
        <v>32</v>
      </c>
      <c r="J187">
        <v>20</v>
      </c>
      <c r="K187">
        <v>3.52</v>
      </c>
      <c r="L187">
        <v>0.11</v>
      </c>
      <c r="M187" t="s">
        <v>36</v>
      </c>
      <c r="N187" t="s">
        <v>38</v>
      </c>
      <c r="O187">
        <v>3</v>
      </c>
      <c r="P187">
        <v>2.8</v>
      </c>
      <c r="Q187">
        <v>62.656000000000013</v>
      </c>
    </row>
    <row r="188" spans="1:17" x14ac:dyDescent="0.25">
      <c r="A188">
        <v>1187</v>
      </c>
      <c r="B188" s="3">
        <v>45113</v>
      </c>
      <c r="C188" s="3" t="str">
        <f>TEXT(Fruits_Vendor[[#This Row],[Order_Date]],"mmmm")</f>
        <v>July</v>
      </c>
      <c r="D188" s="3" t="str">
        <f>TEXT(Fruits_Vendor[[#This Row],[Order_Date]],"yyyy")</f>
        <v>2023</v>
      </c>
      <c r="E188">
        <v>2392</v>
      </c>
      <c r="F188" t="s">
        <v>17</v>
      </c>
      <c r="G188" t="s">
        <v>24</v>
      </c>
      <c r="H188" t="s">
        <v>30</v>
      </c>
      <c r="I188" t="s">
        <v>32</v>
      </c>
      <c r="J188">
        <v>16</v>
      </c>
      <c r="K188">
        <v>0.92</v>
      </c>
      <c r="L188">
        <v>0.2</v>
      </c>
      <c r="M188" t="s">
        <v>36</v>
      </c>
      <c r="N188" t="s">
        <v>39</v>
      </c>
      <c r="O188">
        <v>2</v>
      </c>
      <c r="P188">
        <v>3.8</v>
      </c>
      <c r="Q188">
        <v>11.776</v>
      </c>
    </row>
    <row r="189" spans="1:17" x14ac:dyDescent="0.25">
      <c r="A189">
        <v>1188</v>
      </c>
      <c r="B189" s="3">
        <v>45114</v>
      </c>
      <c r="C189" s="3" t="str">
        <f>TEXT(Fruits_Vendor[[#This Row],[Order_Date]],"mmmm")</f>
        <v>July</v>
      </c>
      <c r="D189" s="3" t="str">
        <f>TEXT(Fruits_Vendor[[#This Row],[Order_Date]],"yyyy")</f>
        <v>2023</v>
      </c>
      <c r="E189">
        <v>2206</v>
      </c>
      <c r="F189" t="s">
        <v>15</v>
      </c>
      <c r="G189" t="s">
        <v>21</v>
      </c>
      <c r="H189" t="s">
        <v>26</v>
      </c>
      <c r="I189" t="s">
        <v>33</v>
      </c>
      <c r="J189">
        <v>4</v>
      </c>
      <c r="K189">
        <v>1.66</v>
      </c>
      <c r="L189">
        <v>0.05</v>
      </c>
      <c r="M189" t="s">
        <v>36</v>
      </c>
      <c r="N189" t="s">
        <v>38</v>
      </c>
      <c r="O189">
        <v>6</v>
      </c>
      <c r="P189">
        <v>4.5</v>
      </c>
      <c r="Q189">
        <v>6.3079999999999998</v>
      </c>
    </row>
    <row r="190" spans="1:17" x14ac:dyDescent="0.25">
      <c r="A190">
        <v>1189</v>
      </c>
      <c r="B190" s="3">
        <v>45115</v>
      </c>
      <c r="C190" s="3" t="str">
        <f>TEXT(Fruits_Vendor[[#This Row],[Order_Date]],"mmmm")</f>
        <v>July</v>
      </c>
      <c r="D190" s="3" t="str">
        <f>TEXT(Fruits_Vendor[[#This Row],[Order_Date]],"yyyy")</f>
        <v>2023</v>
      </c>
      <c r="E190">
        <v>2014</v>
      </c>
      <c r="F190" t="s">
        <v>18</v>
      </c>
      <c r="G190" t="s">
        <v>22</v>
      </c>
      <c r="H190" t="s">
        <v>28</v>
      </c>
      <c r="I190" t="s">
        <v>33</v>
      </c>
      <c r="J190">
        <v>6</v>
      </c>
      <c r="K190">
        <v>4.05</v>
      </c>
      <c r="L190">
        <v>0.08</v>
      </c>
      <c r="M190" t="s">
        <v>34</v>
      </c>
      <c r="N190" t="s">
        <v>38</v>
      </c>
      <c r="O190">
        <v>1</v>
      </c>
      <c r="P190">
        <v>4.9000000000000004</v>
      </c>
      <c r="Q190">
        <v>22.356000000000002</v>
      </c>
    </row>
    <row r="191" spans="1:17" x14ac:dyDescent="0.25">
      <c r="A191">
        <v>1190</v>
      </c>
      <c r="B191" s="3">
        <v>45116</v>
      </c>
      <c r="C191" s="3" t="str">
        <f>TEXT(Fruits_Vendor[[#This Row],[Order_Date]],"mmmm")</f>
        <v>July</v>
      </c>
      <c r="D191" s="3" t="str">
        <f>TEXT(Fruits_Vendor[[#This Row],[Order_Date]],"yyyy")</f>
        <v>2023</v>
      </c>
      <c r="E191">
        <v>2857</v>
      </c>
      <c r="F191" t="s">
        <v>18</v>
      </c>
      <c r="G191" t="s">
        <v>21</v>
      </c>
      <c r="H191" t="s">
        <v>27</v>
      </c>
      <c r="I191" t="s">
        <v>31</v>
      </c>
      <c r="J191">
        <v>22</v>
      </c>
      <c r="K191">
        <v>4.3899999999999997</v>
      </c>
      <c r="L191">
        <v>0.11</v>
      </c>
      <c r="M191" t="s">
        <v>36</v>
      </c>
      <c r="N191" t="s">
        <v>40</v>
      </c>
      <c r="O191">
        <v>2</v>
      </c>
      <c r="P191">
        <v>4.4000000000000004</v>
      </c>
      <c r="Q191">
        <v>85.956199999999995</v>
      </c>
    </row>
    <row r="192" spans="1:17" x14ac:dyDescent="0.25">
      <c r="A192">
        <v>1191</v>
      </c>
      <c r="B192" s="3">
        <v>45117</v>
      </c>
      <c r="C192" s="3" t="str">
        <f>TEXT(Fruits_Vendor[[#This Row],[Order_Date]],"mmmm")</f>
        <v>July</v>
      </c>
      <c r="D192" s="3" t="str">
        <f>TEXT(Fruits_Vendor[[#This Row],[Order_Date]],"yyyy")</f>
        <v>2023</v>
      </c>
      <c r="E192">
        <v>2553</v>
      </c>
      <c r="F192" t="s">
        <v>17</v>
      </c>
      <c r="G192" t="s">
        <v>20</v>
      </c>
      <c r="H192" t="s">
        <v>30</v>
      </c>
      <c r="I192" t="s">
        <v>31</v>
      </c>
      <c r="J192">
        <v>26</v>
      </c>
      <c r="K192">
        <v>3.24</v>
      </c>
      <c r="L192">
        <v>0.16</v>
      </c>
      <c r="M192" t="s">
        <v>37</v>
      </c>
      <c r="N192" t="s">
        <v>39</v>
      </c>
      <c r="O192">
        <v>5</v>
      </c>
      <c r="P192">
        <v>4.3</v>
      </c>
      <c r="Q192">
        <v>70.761600000000001</v>
      </c>
    </row>
    <row r="193" spans="1:17" x14ac:dyDescent="0.25">
      <c r="A193">
        <v>1192</v>
      </c>
      <c r="B193" s="3">
        <v>45118</v>
      </c>
      <c r="C193" s="3" t="str">
        <f>TEXT(Fruits_Vendor[[#This Row],[Order_Date]],"mmmm")</f>
        <v>July</v>
      </c>
      <c r="D193" s="3" t="str">
        <f>TEXT(Fruits_Vendor[[#This Row],[Order_Date]],"yyyy")</f>
        <v>2023</v>
      </c>
      <c r="E193">
        <v>2891</v>
      </c>
      <c r="F193" t="s">
        <v>16</v>
      </c>
      <c r="G193" t="s">
        <v>23</v>
      </c>
      <c r="H193" t="s">
        <v>25</v>
      </c>
      <c r="I193" t="s">
        <v>32</v>
      </c>
      <c r="J193">
        <v>3</v>
      </c>
      <c r="K193">
        <v>2.78</v>
      </c>
      <c r="L193">
        <v>0.11</v>
      </c>
      <c r="M193" t="s">
        <v>37</v>
      </c>
      <c r="N193" t="s">
        <v>38</v>
      </c>
      <c r="O193">
        <v>4</v>
      </c>
      <c r="P193">
        <v>4.5999999999999996</v>
      </c>
      <c r="Q193">
        <v>7.4226000000000001</v>
      </c>
    </row>
    <row r="194" spans="1:17" x14ac:dyDescent="0.25">
      <c r="A194">
        <v>1193</v>
      </c>
      <c r="B194" s="3">
        <v>45119</v>
      </c>
      <c r="C194" s="3" t="str">
        <f>TEXT(Fruits_Vendor[[#This Row],[Order_Date]],"mmmm")</f>
        <v>July</v>
      </c>
      <c r="D194" s="3" t="str">
        <f>TEXT(Fruits_Vendor[[#This Row],[Order_Date]],"yyyy")</f>
        <v>2023</v>
      </c>
      <c r="E194">
        <v>2460</v>
      </c>
      <c r="F194" t="s">
        <v>16</v>
      </c>
      <c r="G194" t="s">
        <v>19</v>
      </c>
      <c r="H194" t="s">
        <v>26</v>
      </c>
      <c r="I194" t="s">
        <v>33</v>
      </c>
      <c r="J194">
        <v>41</v>
      </c>
      <c r="K194">
        <v>1.22</v>
      </c>
      <c r="L194">
        <v>0.12</v>
      </c>
      <c r="M194" t="s">
        <v>34</v>
      </c>
      <c r="N194" t="s">
        <v>39</v>
      </c>
      <c r="O194">
        <v>5</v>
      </c>
      <c r="P194">
        <v>3.6</v>
      </c>
      <c r="Q194">
        <v>44.017599999999987</v>
      </c>
    </row>
    <row r="195" spans="1:17" x14ac:dyDescent="0.25">
      <c r="A195">
        <v>1194</v>
      </c>
      <c r="B195" s="3">
        <v>45120</v>
      </c>
      <c r="C195" s="3" t="str">
        <f>TEXT(Fruits_Vendor[[#This Row],[Order_Date]],"mmmm")</f>
        <v>July</v>
      </c>
      <c r="D195" s="3" t="str">
        <f>TEXT(Fruits_Vendor[[#This Row],[Order_Date]],"yyyy")</f>
        <v>2023</v>
      </c>
      <c r="E195">
        <v>2690</v>
      </c>
      <c r="F195" t="s">
        <v>16</v>
      </c>
      <c r="G195" t="s">
        <v>21</v>
      </c>
      <c r="H195" t="s">
        <v>30</v>
      </c>
      <c r="I195" t="s">
        <v>33</v>
      </c>
      <c r="J195">
        <v>42</v>
      </c>
      <c r="K195">
        <v>0.78</v>
      </c>
      <c r="L195">
        <v>0.05</v>
      </c>
      <c r="M195" t="s">
        <v>35</v>
      </c>
      <c r="N195" t="s">
        <v>39</v>
      </c>
      <c r="O195">
        <v>4</v>
      </c>
      <c r="P195">
        <v>4.5</v>
      </c>
      <c r="Q195">
        <v>31.122</v>
      </c>
    </row>
    <row r="196" spans="1:17" x14ac:dyDescent="0.25">
      <c r="A196">
        <v>1195</v>
      </c>
      <c r="B196" s="3">
        <v>45121</v>
      </c>
      <c r="C196" s="3" t="str">
        <f>TEXT(Fruits_Vendor[[#This Row],[Order_Date]],"mmmm")</f>
        <v>July</v>
      </c>
      <c r="D196" s="3" t="str">
        <f>TEXT(Fruits_Vendor[[#This Row],[Order_Date]],"yyyy")</f>
        <v>2023</v>
      </c>
      <c r="E196">
        <v>2574</v>
      </c>
      <c r="F196" t="s">
        <v>18</v>
      </c>
      <c r="G196" t="s">
        <v>20</v>
      </c>
      <c r="H196" t="s">
        <v>29</v>
      </c>
      <c r="I196" t="s">
        <v>33</v>
      </c>
      <c r="J196">
        <v>14</v>
      </c>
      <c r="K196">
        <v>1.03</v>
      </c>
      <c r="L196">
        <v>0.17</v>
      </c>
      <c r="M196" t="s">
        <v>34</v>
      </c>
      <c r="N196" t="s">
        <v>40</v>
      </c>
      <c r="O196">
        <v>5</v>
      </c>
      <c r="P196">
        <v>2.5</v>
      </c>
      <c r="Q196">
        <v>11.9686</v>
      </c>
    </row>
    <row r="197" spans="1:17" x14ac:dyDescent="0.25">
      <c r="A197">
        <v>1196</v>
      </c>
      <c r="B197" s="3">
        <v>45122</v>
      </c>
      <c r="C197" s="3" t="str">
        <f>TEXT(Fruits_Vendor[[#This Row],[Order_Date]],"mmmm")</f>
        <v>July</v>
      </c>
      <c r="D197" s="3" t="str">
        <f>TEXT(Fruits_Vendor[[#This Row],[Order_Date]],"yyyy")</f>
        <v>2023</v>
      </c>
      <c r="E197">
        <v>2863</v>
      </c>
      <c r="F197" t="s">
        <v>18</v>
      </c>
      <c r="G197" t="s">
        <v>20</v>
      </c>
      <c r="H197" t="s">
        <v>29</v>
      </c>
      <c r="I197" t="s">
        <v>32</v>
      </c>
      <c r="J197">
        <v>11</v>
      </c>
      <c r="K197">
        <v>1.52</v>
      </c>
      <c r="L197">
        <v>0.09</v>
      </c>
      <c r="M197" t="s">
        <v>35</v>
      </c>
      <c r="N197" t="s">
        <v>40</v>
      </c>
      <c r="O197">
        <v>3</v>
      </c>
      <c r="P197">
        <v>4.8</v>
      </c>
      <c r="Q197">
        <v>15.215199999999999</v>
      </c>
    </row>
    <row r="198" spans="1:17" x14ac:dyDescent="0.25">
      <c r="A198">
        <v>1197</v>
      </c>
      <c r="B198" s="3">
        <v>45123</v>
      </c>
      <c r="C198" s="3" t="str">
        <f>TEXT(Fruits_Vendor[[#This Row],[Order_Date]],"mmmm")</f>
        <v>July</v>
      </c>
      <c r="D198" s="3" t="str">
        <f>TEXT(Fruits_Vendor[[#This Row],[Order_Date]],"yyyy")</f>
        <v>2023</v>
      </c>
      <c r="E198">
        <v>2742</v>
      </c>
      <c r="F198" t="s">
        <v>18</v>
      </c>
      <c r="G198" t="s">
        <v>23</v>
      </c>
      <c r="H198" t="s">
        <v>27</v>
      </c>
      <c r="I198" t="s">
        <v>31</v>
      </c>
      <c r="J198">
        <v>18</v>
      </c>
      <c r="K198">
        <v>2.04</v>
      </c>
      <c r="L198">
        <v>0.03</v>
      </c>
      <c r="M198" t="s">
        <v>36</v>
      </c>
      <c r="N198" t="s">
        <v>40</v>
      </c>
      <c r="O198">
        <v>2</v>
      </c>
      <c r="P198">
        <v>3.6</v>
      </c>
      <c r="Q198">
        <v>35.618400000000001</v>
      </c>
    </row>
    <row r="199" spans="1:17" x14ac:dyDescent="0.25">
      <c r="A199">
        <v>1198</v>
      </c>
      <c r="B199" s="3">
        <v>45124</v>
      </c>
      <c r="C199" s="3" t="str">
        <f>TEXT(Fruits_Vendor[[#This Row],[Order_Date]],"mmmm")</f>
        <v>July</v>
      </c>
      <c r="D199" s="3" t="str">
        <f>TEXT(Fruits_Vendor[[#This Row],[Order_Date]],"yyyy")</f>
        <v>2023</v>
      </c>
      <c r="E199">
        <v>2240</v>
      </c>
      <c r="F199" t="s">
        <v>15</v>
      </c>
      <c r="G199" t="s">
        <v>22</v>
      </c>
      <c r="H199" t="s">
        <v>28</v>
      </c>
      <c r="I199" t="s">
        <v>32</v>
      </c>
      <c r="J199">
        <v>12</v>
      </c>
      <c r="K199">
        <v>2.21</v>
      </c>
      <c r="L199">
        <v>0.13</v>
      </c>
      <c r="M199" t="s">
        <v>34</v>
      </c>
      <c r="N199" t="s">
        <v>40</v>
      </c>
      <c r="O199">
        <v>4</v>
      </c>
      <c r="P199">
        <v>3.9</v>
      </c>
      <c r="Q199">
        <v>23.072399999999998</v>
      </c>
    </row>
    <row r="200" spans="1:17" x14ac:dyDescent="0.25">
      <c r="A200">
        <v>1199</v>
      </c>
      <c r="B200" s="3">
        <v>45125</v>
      </c>
      <c r="C200" s="3" t="str">
        <f>TEXT(Fruits_Vendor[[#This Row],[Order_Date]],"mmmm")</f>
        <v>July</v>
      </c>
      <c r="D200" s="3" t="str">
        <f>TEXT(Fruits_Vendor[[#This Row],[Order_Date]],"yyyy")</f>
        <v>2023</v>
      </c>
      <c r="E200">
        <v>2563</v>
      </c>
      <c r="F200" t="s">
        <v>17</v>
      </c>
      <c r="G200" t="s">
        <v>20</v>
      </c>
      <c r="H200" t="s">
        <v>27</v>
      </c>
      <c r="I200" t="s">
        <v>31</v>
      </c>
      <c r="J200">
        <v>23</v>
      </c>
      <c r="K200">
        <v>2.06</v>
      </c>
      <c r="L200">
        <v>0.04</v>
      </c>
      <c r="M200" t="s">
        <v>37</v>
      </c>
      <c r="N200" t="s">
        <v>40</v>
      </c>
      <c r="O200">
        <v>1</v>
      </c>
      <c r="P200">
        <v>3.1</v>
      </c>
      <c r="Q200">
        <v>45.4848</v>
      </c>
    </row>
    <row r="201" spans="1:17" x14ac:dyDescent="0.25">
      <c r="A201">
        <v>1200</v>
      </c>
      <c r="B201" s="3">
        <v>45126</v>
      </c>
      <c r="C201" s="3" t="str">
        <f>TEXT(Fruits_Vendor[[#This Row],[Order_Date]],"mmmm")</f>
        <v>July</v>
      </c>
      <c r="D201" s="3" t="str">
        <f>TEXT(Fruits_Vendor[[#This Row],[Order_Date]],"yyyy")</f>
        <v>2023</v>
      </c>
      <c r="E201">
        <v>2095</v>
      </c>
      <c r="F201" t="s">
        <v>18</v>
      </c>
      <c r="G201" t="s">
        <v>20</v>
      </c>
      <c r="H201" t="s">
        <v>27</v>
      </c>
      <c r="I201" t="s">
        <v>31</v>
      </c>
      <c r="J201">
        <v>12</v>
      </c>
      <c r="K201">
        <v>1.58</v>
      </c>
      <c r="L201">
        <v>0.02</v>
      </c>
      <c r="M201" t="s">
        <v>36</v>
      </c>
      <c r="N201" t="s">
        <v>40</v>
      </c>
      <c r="O201">
        <v>2</v>
      </c>
      <c r="P201">
        <v>4.4000000000000004</v>
      </c>
      <c r="Q201">
        <v>18.5808</v>
      </c>
    </row>
    <row r="202" spans="1:17" x14ac:dyDescent="0.25">
      <c r="A202">
        <v>1201</v>
      </c>
      <c r="B202" s="3">
        <v>45127</v>
      </c>
      <c r="C202" s="3" t="str">
        <f>TEXT(Fruits_Vendor[[#This Row],[Order_Date]],"mmmm")</f>
        <v>July</v>
      </c>
      <c r="D202" s="3" t="str">
        <f>TEXT(Fruits_Vendor[[#This Row],[Order_Date]],"yyyy")</f>
        <v>2023</v>
      </c>
      <c r="E202">
        <v>2899</v>
      </c>
      <c r="F202" t="s">
        <v>17</v>
      </c>
      <c r="G202" t="s">
        <v>20</v>
      </c>
      <c r="H202" t="s">
        <v>27</v>
      </c>
      <c r="I202" t="s">
        <v>32</v>
      </c>
      <c r="J202">
        <v>13</v>
      </c>
      <c r="K202">
        <v>2.79</v>
      </c>
      <c r="L202">
        <v>0.17</v>
      </c>
      <c r="M202" t="s">
        <v>37</v>
      </c>
      <c r="N202" t="s">
        <v>40</v>
      </c>
      <c r="O202">
        <v>1</v>
      </c>
      <c r="P202">
        <v>2.7</v>
      </c>
      <c r="Q202">
        <v>30.104099999999999</v>
      </c>
    </row>
    <row r="203" spans="1:17" x14ac:dyDescent="0.25">
      <c r="A203">
        <v>1202</v>
      </c>
      <c r="B203" s="3">
        <v>45128</v>
      </c>
      <c r="C203" s="3" t="str">
        <f>TEXT(Fruits_Vendor[[#This Row],[Order_Date]],"mmmm")</f>
        <v>July</v>
      </c>
      <c r="D203" s="3" t="str">
        <f>TEXT(Fruits_Vendor[[#This Row],[Order_Date]],"yyyy")</f>
        <v>2023</v>
      </c>
      <c r="E203">
        <v>2733</v>
      </c>
      <c r="F203" t="s">
        <v>17</v>
      </c>
      <c r="G203" t="s">
        <v>20</v>
      </c>
      <c r="H203" t="s">
        <v>27</v>
      </c>
      <c r="I203" t="s">
        <v>31</v>
      </c>
      <c r="J203">
        <v>25</v>
      </c>
      <c r="K203">
        <v>4.21</v>
      </c>
      <c r="L203">
        <v>0.09</v>
      </c>
      <c r="M203" t="s">
        <v>36</v>
      </c>
      <c r="N203" t="s">
        <v>40</v>
      </c>
      <c r="O203">
        <v>2</v>
      </c>
      <c r="P203">
        <v>4.7</v>
      </c>
      <c r="Q203">
        <v>95.777500000000003</v>
      </c>
    </row>
    <row r="204" spans="1:17" x14ac:dyDescent="0.25">
      <c r="A204">
        <v>1203</v>
      </c>
      <c r="B204" s="3">
        <v>45129</v>
      </c>
      <c r="C204" s="3" t="str">
        <f>TEXT(Fruits_Vendor[[#This Row],[Order_Date]],"mmmm")</f>
        <v>July</v>
      </c>
      <c r="D204" s="3" t="str">
        <f>TEXT(Fruits_Vendor[[#This Row],[Order_Date]],"yyyy")</f>
        <v>2023</v>
      </c>
      <c r="E204">
        <v>2484</v>
      </c>
      <c r="F204" t="s">
        <v>16</v>
      </c>
      <c r="G204" t="s">
        <v>24</v>
      </c>
      <c r="H204" t="s">
        <v>25</v>
      </c>
      <c r="I204" t="s">
        <v>31</v>
      </c>
      <c r="J204">
        <v>45</v>
      </c>
      <c r="K204">
        <v>1.76</v>
      </c>
      <c r="L204">
        <v>0.15</v>
      </c>
      <c r="M204" t="s">
        <v>34</v>
      </c>
      <c r="N204" t="s">
        <v>38</v>
      </c>
      <c r="O204">
        <v>2</v>
      </c>
      <c r="P204">
        <v>4.5999999999999996</v>
      </c>
      <c r="Q204">
        <v>67.320000000000007</v>
      </c>
    </row>
    <row r="205" spans="1:17" x14ac:dyDescent="0.25">
      <c r="A205">
        <v>1204</v>
      </c>
      <c r="B205" s="3">
        <v>45130</v>
      </c>
      <c r="C205" s="3" t="str">
        <f>TEXT(Fruits_Vendor[[#This Row],[Order_Date]],"mmmm")</f>
        <v>July</v>
      </c>
      <c r="D205" s="3" t="str">
        <f>TEXT(Fruits_Vendor[[#This Row],[Order_Date]],"yyyy")</f>
        <v>2023</v>
      </c>
      <c r="E205">
        <v>2406</v>
      </c>
      <c r="F205" t="s">
        <v>15</v>
      </c>
      <c r="G205" t="s">
        <v>24</v>
      </c>
      <c r="H205" t="s">
        <v>25</v>
      </c>
      <c r="I205" t="s">
        <v>33</v>
      </c>
      <c r="J205">
        <v>19</v>
      </c>
      <c r="K205">
        <v>4.74</v>
      </c>
      <c r="L205">
        <v>0.06</v>
      </c>
      <c r="M205" t="s">
        <v>35</v>
      </c>
      <c r="N205" t="s">
        <v>39</v>
      </c>
      <c r="O205">
        <v>5</v>
      </c>
      <c r="P205">
        <v>3</v>
      </c>
      <c r="Q205">
        <v>84.656399999999991</v>
      </c>
    </row>
    <row r="206" spans="1:17" x14ac:dyDescent="0.25">
      <c r="A206">
        <v>1205</v>
      </c>
      <c r="B206" s="3">
        <v>45131</v>
      </c>
      <c r="C206" s="3" t="str">
        <f>TEXT(Fruits_Vendor[[#This Row],[Order_Date]],"mmmm")</f>
        <v>July</v>
      </c>
      <c r="D206" s="3" t="str">
        <f>TEXT(Fruits_Vendor[[#This Row],[Order_Date]],"yyyy")</f>
        <v>2023</v>
      </c>
      <c r="E206">
        <v>2230</v>
      </c>
      <c r="F206" t="s">
        <v>18</v>
      </c>
      <c r="G206" t="s">
        <v>22</v>
      </c>
      <c r="H206" t="s">
        <v>30</v>
      </c>
      <c r="I206" t="s">
        <v>31</v>
      </c>
      <c r="J206">
        <v>46</v>
      </c>
      <c r="K206">
        <v>4.43</v>
      </c>
      <c r="L206">
        <v>0.16</v>
      </c>
      <c r="M206" t="s">
        <v>36</v>
      </c>
      <c r="N206" t="s">
        <v>40</v>
      </c>
      <c r="O206">
        <v>4</v>
      </c>
      <c r="P206">
        <v>4.5</v>
      </c>
      <c r="Q206">
        <v>171.17519999999999</v>
      </c>
    </row>
    <row r="207" spans="1:17" x14ac:dyDescent="0.25">
      <c r="A207">
        <v>1206</v>
      </c>
      <c r="B207" s="3">
        <v>45132</v>
      </c>
      <c r="C207" s="3" t="str">
        <f>TEXT(Fruits_Vendor[[#This Row],[Order_Date]],"mmmm")</f>
        <v>July</v>
      </c>
      <c r="D207" s="3" t="str">
        <f>TEXT(Fruits_Vendor[[#This Row],[Order_Date]],"yyyy")</f>
        <v>2023</v>
      </c>
      <c r="E207">
        <v>2748</v>
      </c>
      <c r="F207" t="s">
        <v>16</v>
      </c>
      <c r="G207" t="s">
        <v>21</v>
      </c>
      <c r="H207" t="s">
        <v>29</v>
      </c>
      <c r="I207" t="s">
        <v>32</v>
      </c>
      <c r="J207">
        <v>36</v>
      </c>
      <c r="K207">
        <v>1.23</v>
      </c>
      <c r="L207">
        <v>0.02</v>
      </c>
      <c r="M207" t="s">
        <v>35</v>
      </c>
      <c r="N207" t="s">
        <v>40</v>
      </c>
      <c r="O207">
        <v>4</v>
      </c>
      <c r="P207">
        <v>4.5</v>
      </c>
      <c r="Q207">
        <v>43.394399999999997</v>
      </c>
    </row>
    <row r="208" spans="1:17" x14ac:dyDescent="0.25">
      <c r="A208">
        <v>1207</v>
      </c>
      <c r="B208" s="3">
        <v>45133</v>
      </c>
      <c r="C208" s="3" t="str">
        <f>TEXT(Fruits_Vendor[[#This Row],[Order_Date]],"mmmm")</f>
        <v>July</v>
      </c>
      <c r="D208" s="3" t="str">
        <f>TEXT(Fruits_Vendor[[#This Row],[Order_Date]],"yyyy")</f>
        <v>2023</v>
      </c>
      <c r="E208">
        <v>2654</v>
      </c>
      <c r="F208" t="s">
        <v>16</v>
      </c>
      <c r="G208" t="s">
        <v>20</v>
      </c>
      <c r="H208" t="s">
        <v>27</v>
      </c>
      <c r="I208" t="s">
        <v>32</v>
      </c>
      <c r="J208">
        <v>45</v>
      </c>
      <c r="K208">
        <v>4.04</v>
      </c>
      <c r="L208">
        <v>7.0000000000000007E-2</v>
      </c>
      <c r="M208" t="s">
        <v>36</v>
      </c>
      <c r="N208" t="s">
        <v>39</v>
      </c>
      <c r="O208">
        <v>2</v>
      </c>
      <c r="P208">
        <v>4.0999999999999996</v>
      </c>
      <c r="Q208">
        <v>169.07400000000001</v>
      </c>
    </row>
    <row r="209" spans="1:17" x14ac:dyDescent="0.25">
      <c r="A209">
        <v>1208</v>
      </c>
      <c r="B209" s="3">
        <v>45134</v>
      </c>
      <c r="C209" s="3" t="str">
        <f>TEXT(Fruits_Vendor[[#This Row],[Order_Date]],"mmmm")</f>
        <v>July</v>
      </c>
      <c r="D209" s="3" t="str">
        <f>TEXT(Fruits_Vendor[[#This Row],[Order_Date]],"yyyy")</f>
        <v>2023</v>
      </c>
      <c r="E209">
        <v>2170</v>
      </c>
      <c r="F209" t="s">
        <v>18</v>
      </c>
      <c r="G209" t="s">
        <v>23</v>
      </c>
      <c r="H209" t="s">
        <v>30</v>
      </c>
      <c r="I209" t="s">
        <v>31</v>
      </c>
      <c r="J209">
        <v>8</v>
      </c>
      <c r="K209">
        <v>3.09</v>
      </c>
      <c r="L209">
        <v>0.2</v>
      </c>
      <c r="M209" t="s">
        <v>37</v>
      </c>
      <c r="N209" t="s">
        <v>38</v>
      </c>
      <c r="O209">
        <v>3</v>
      </c>
      <c r="P209">
        <v>3.4</v>
      </c>
      <c r="Q209">
        <v>19.776</v>
      </c>
    </row>
    <row r="210" spans="1:17" x14ac:dyDescent="0.25">
      <c r="A210">
        <v>1209</v>
      </c>
      <c r="B210" s="3">
        <v>45135</v>
      </c>
      <c r="C210" s="3" t="str">
        <f>TEXT(Fruits_Vendor[[#This Row],[Order_Date]],"mmmm")</f>
        <v>July</v>
      </c>
      <c r="D210" s="3" t="str">
        <f>TEXT(Fruits_Vendor[[#This Row],[Order_Date]],"yyyy")</f>
        <v>2023</v>
      </c>
      <c r="E210">
        <v>2540</v>
      </c>
      <c r="F210" t="s">
        <v>17</v>
      </c>
      <c r="G210" t="s">
        <v>21</v>
      </c>
      <c r="H210" t="s">
        <v>29</v>
      </c>
      <c r="I210" t="s">
        <v>33</v>
      </c>
      <c r="J210">
        <v>29</v>
      </c>
      <c r="K210">
        <v>3.05</v>
      </c>
      <c r="L210">
        <v>0.16</v>
      </c>
      <c r="M210" t="s">
        <v>37</v>
      </c>
      <c r="N210" t="s">
        <v>39</v>
      </c>
      <c r="O210">
        <v>3</v>
      </c>
      <c r="P210">
        <v>3.2</v>
      </c>
      <c r="Q210">
        <v>74.297999999999988</v>
      </c>
    </row>
    <row r="211" spans="1:17" x14ac:dyDescent="0.25">
      <c r="A211">
        <v>1210</v>
      </c>
      <c r="B211" s="3">
        <v>45136</v>
      </c>
      <c r="C211" s="3" t="str">
        <f>TEXT(Fruits_Vendor[[#This Row],[Order_Date]],"mmmm")</f>
        <v>July</v>
      </c>
      <c r="D211" s="3" t="str">
        <f>TEXT(Fruits_Vendor[[#This Row],[Order_Date]],"yyyy")</f>
        <v>2023</v>
      </c>
      <c r="E211">
        <v>2035</v>
      </c>
      <c r="F211" t="s">
        <v>16</v>
      </c>
      <c r="G211" t="s">
        <v>23</v>
      </c>
      <c r="H211" t="s">
        <v>26</v>
      </c>
      <c r="I211" t="s">
        <v>33</v>
      </c>
      <c r="J211">
        <v>32</v>
      </c>
      <c r="K211">
        <v>2.2599999999999998</v>
      </c>
      <c r="L211">
        <v>0.1</v>
      </c>
      <c r="M211" t="s">
        <v>36</v>
      </c>
      <c r="N211" t="s">
        <v>39</v>
      </c>
      <c r="O211">
        <v>1</v>
      </c>
      <c r="P211">
        <v>3.1</v>
      </c>
      <c r="Q211">
        <v>65.087999999999994</v>
      </c>
    </row>
    <row r="212" spans="1:17" x14ac:dyDescent="0.25">
      <c r="A212">
        <v>1211</v>
      </c>
      <c r="B212" s="3">
        <v>45137</v>
      </c>
      <c r="C212" s="3" t="str">
        <f>TEXT(Fruits_Vendor[[#This Row],[Order_Date]],"mmmm")</f>
        <v>July</v>
      </c>
      <c r="D212" s="3" t="str">
        <f>TEXT(Fruits_Vendor[[#This Row],[Order_Date]],"yyyy")</f>
        <v>2023</v>
      </c>
      <c r="E212">
        <v>2524</v>
      </c>
      <c r="F212" t="s">
        <v>17</v>
      </c>
      <c r="G212" t="s">
        <v>21</v>
      </c>
      <c r="H212" t="s">
        <v>28</v>
      </c>
      <c r="I212" t="s">
        <v>31</v>
      </c>
      <c r="J212">
        <v>44</v>
      </c>
      <c r="K212">
        <v>2.76</v>
      </c>
      <c r="L212">
        <v>7.0000000000000007E-2</v>
      </c>
      <c r="M212" t="s">
        <v>35</v>
      </c>
      <c r="N212" t="s">
        <v>40</v>
      </c>
      <c r="O212">
        <v>1</v>
      </c>
      <c r="P212">
        <v>3.3</v>
      </c>
      <c r="Q212">
        <v>112.9392</v>
      </c>
    </row>
    <row r="213" spans="1:17" x14ac:dyDescent="0.25">
      <c r="A213">
        <v>1212</v>
      </c>
      <c r="B213" s="3">
        <v>45138</v>
      </c>
      <c r="C213" s="3" t="str">
        <f>TEXT(Fruits_Vendor[[#This Row],[Order_Date]],"mmmm")</f>
        <v>July</v>
      </c>
      <c r="D213" s="3" t="str">
        <f>TEXT(Fruits_Vendor[[#This Row],[Order_Date]],"yyyy")</f>
        <v>2023</v>
      </c>
      <c r="E213">
        <v>2159</v>
      </c>
      <c r="F213" t="s">
        <v>15</v>
      </c>
      <c r="G213" t="s">
        <v>22</v>
      </c>
      <c r="H213" t="s">
        <v>25</v>
      </c>
      <c r="I213" t="s">
        <v>31</v>
      </c>
      <c r="J213">
        <v>18</v>
      </c>
      <c r="K213">
        <v>2.29</v>
      </c>
      <c r="L213">
        <v>0.17</v>
      </c>
      <c r="M213" t="s">
        <v>34</v>
      </c>
      <c r="N213" t="s">
        <v>39</v>
      </c>
      <c r="O213">
        <v>5</v>
      </c>
      <c r="P213">
        <v>4.8</v>
      </c>
      <c r="Q213">
        <v>34.212599999999988</v>
      </c>
    </row>
    <row r="214" spans="1:17" x14ac:dyDescent="0.25">
      <c r="A214">
        <v>1213</v>
      </c>
      <c r="B214" s="3">
        <v>45139</v>
      </c>
      <c r="C214" s="3" t="str">
        <f>TEXT(Fruits_Vendor[[#This Row],[Order_Date]],"mmmm")</f>
        <v>August</v>
      </c>
      <c r="D214" s="3" t="str">
        <f>TEXT(Fruits_Vendor[[#This Row],[Order_Date]],"yyyy")</f>
        <v>2023</v>
      </c>
      <c r="E214">
        <v>2838</v>
      </c>
      <c r="F214" t="s">
        <v>17</v>
      </c>
      <c r="G214" t="s">
        <v>20</v>
      </c>
      <c r="H214" t="s">
        <v>26</v>
      </c>
      <c r="I214" t="s">
        <v>32</v>
      </c>
      <c r="J214">
        <v>6</v>
      </c>
      <c r="K214">
        <v>2.93</v>
      </c>
      <c r="L214">
        <v>0.11</v>
      </c>
      <c r="M214" t="s">
        <v>34</v>
      </c>
      <c r="N214" t="s">
        <v>39</v>
      </c>
      <c r="O214">
        <v>2</v>
      </c>
      <c r="P214">
        <v>2.7</v>
      </c>
      <c r="Q214">
        <v>15.6462</v>
      </c>
    </row>
    <row r="215" spans="1:17" x14ac:dyDescent="0.25">
      <c r="A215">
        <v>1214</v>
      </c>
      <c r="B215" s="3">
        <v>45140</v>
      </c>
      <c r="C215" s="3" t="str">
        <f>TEXT(Fruits_Vendor[[#This Row],[Order_Date]],"mmmm")</f>
        <v>August</v>
      </c>
      <c r="D215" s="3" t="str">
        <f>TEXT(Fruits_Vendor[[#This Row],[Order_Date]],"yyyy")</f>
        <v>2023</v>
      </c>
      <c r="E215">
        <v>2698</v>
      </c>
      <c r="F215" t="s">
        <v>15</v>
      </c>
      <c r="G215" t="s">
        <v>20</v>
      </c>
      <c r="H215" t="s">
        <v>29</v>
      </c>
      <c r="I215" t="s">
        <v>31</v>
      </c>
      <c r="J215">
        <v>18</v>
      </c>
      <c r="K215">
        <v>3.33</v>
      </c>
      <c r="L215">
        <v>0.15</v>
      </c>
      <c r="M215" t="s">
        <v>37</v>
      </c>
      <c r="N215" t="s">
        <v>40</v>
      </c>
      <c r="O215">
        <v>1</v>
      </c>
      <c r="P215">
        <v>4.5999999999999996</v>
      </c>
      <c r="Q215">
        <v>50.948999999999998</v>
      </c>
    </row>
    <row r="216" spans="1:17" x14ac:dyDescent="0.25">
      <c r="A216">
        <v>1215</v>
      </c>
      <c r="B216" s="3">
        <v>45141</v>
      </c>
      <c r="C216" s="3" t="str">
        <f>TEXT(Fruits_Vendor[[#This Row],[Order_Date]],"mmmm")</f>
        <v>August</v>
      </c>
      <c r="D216" s="3" t="str">
        <f>TEXT(Fruits_Vendor[[#This Row],[Order_Date]],"yyyy")</f>
        <v>2023</v>
      </c>
      <c r="E216">
        <v>2242</v>
      </c>
      <c r="F216" t="s">
        <v>17</v>
      </c>
      <c r="G216" t="s">
        <v>19</v>
      </c>
      <c r="H216" t="s">
        <v>26</v>
      </c>
      <c r="I216" t="s">
        <v>33</v>
      </c>
      <c r="J216">
        <v>19</v>
      </c>
      <c r="K216">
        <v>3.53</v>
      </c>
      <c r="L216">
        <v>0.15</v>
      </c>
      <c r="M216" t="s">
        <v>34</v>
      </c>
      <c r="N216" t="s">
        <v>40</v>
      </c>
      <c r="O216">
        <v>1</v>
      </c>
      <c r="P216">
        <v>3.4</v>
      </c>
      <c r="Q216">
        <v>57.009500000000003</v>
      </c>
    </row>
    <row r="217" spans="1:17" x14ac:dyDescent="0.25">
      <c r="A217">
        <v>1216</v>
      </c>
      <c r="B217" s="3">
        <v>45142</v>
      </c>
      <c r="C217" s="3" t="str">
        <f>TEXT(Fruits_Vendor[[#This Row],[Order_Date]],"mmmm")</f>
        <v>August</v>
      </c>
      <c r="D217" s="3" t="str">
        <f>TEXT(Fruits_Vendor[[#This Row],[Order_Date]],"yyyy")</f>
        <v>2023</v>
      </c>
      <c r="E217">
        <v>2085</v>
      </c>
      <c r="F217" t="s">
        <v>16</v>
      </c>
      <c r="G217" t="s">
        <v>23</v>
      </c>
      <c r="H217" t="s">
        <v>28</v>
      </c>
      <c r="I217" t="s">
        <v>31</v>
      </c>
      <c r="J217">
        <v>22</v>
      </c>
      <c r="K217">
        <v>2.9</v>
      </c>
      <c r="L217">
        <v>0</v>
      </c>
      <c r="M217" t="s">
        <v>37</v>
      </c>
      <c r="N217" t="s">
        <v>40</v>
      </c>
      <c r="O217">
        <v>6</v>
      </c>
      <c r="P217">
        <v>3.8</v>
      </c>
      <c r="Q217">
        <v>63.8</v>
      </c>
    </row>
    <row r="218" spans="1:17" x14ac:dyDescent="0.25">
      <c r="A218">
        <v>1217</v>
      </c>
      <c r="B218" s="3">
        <v>45143</v>
      </c>
      <c r="C218" s="3" t="str">
        <f>TEXT(Fruits_Vendor[[#This Row],[Order_Date]],"mmmm")</f>
        <v>August</v>
      </c>
      <c r="D218" s="3" t="str">
        <f>TEXT(Fruits_Vendor[[#This Row],[Order_Date]],"yyyy")</f>
        <v>2023</v>
      </c>
      <c r="E218">
        <v>2795</v>
      </c>
      <c r="F218" t="s">
        <v>16</v>
      </c>
      <c r="G218" t="s">
        <v>21</v>
      </c>
      <c r="H218" t="s">
        <v>29</v>
      </c>
      <c r="I218" t="s">
        <v>32</v>
      </c>
      <c r="J218">
        <v>37</v>
      </c>
      <c r="K218">
        <v>3.75</v>
      </c>
      <c r="L218">
        <v>0.03</v>
      </c>
      <c r="M218" t="s">
        <v>34</v>
      </c>
      <c r="N218" t="s">
        <v>40</v>
      </c>
      <c r="O218">
        <v>2</v>
      </c>
      <c r="P218">
        <v>4.5</v>
      </c>
      <c r="Q218">
        <v>134.58750000000001</v>
      </c>
    </row>
    <row r="219" spans="1:17" x14ac:dyDescent="0.25">
      <c r="A219">
        <v>1218</v>
      </c>
      <c r="B219" s="3">
        <v>45144</v>
      </c>
      <c r="C219" s="3" t="str">
        <f>TEXT(Fruits_Vendor[[#This Row],[Order_Date]],"mmmm")</f>
        <v>August</v>
      </c>
      <c r="D219" s="3" t="str">
        <f>TEXT(Fruits_Vendor[[#This Row],[Order_Date]],"yyyy")</f>
        <v>2023</v>
      </c>
      <c r="E219">
        <v>2577</v>
      </c>
      <c r="F219" t="s">
        <v>15</v>
      </c>
      <c r="G219" t="s">
        <v>21</v>
      </c>
      <c r="H219" t="s">
        <v>26</v>
      </c>
      <c r="I219" t="s">
        <v>32</v>
      </c>
      <c r="J219">
        <v>32</v>
      </c>
      <c r="K219">
        <v>1.1399999999999999</v>
      </c>
      <c r="L219">
        <v>0.13</v>
      </c>
      <c r="M219" t="s">
        <v>36</v>
      </c>
      <c r="N219" t="s">
        <v>39</v>
      </c>
      <c r="O219">
        <v>5</v>
      </c>
      <c r="P219">
        <v>4.7</v>
      </c>
      <c r="Q219">
        <v>31.7376</v>
      </c>
    </row>
    <row r="220" spans="1:17" x14ac:dyDescent="0.25">
      <c r="A220">
        <v>1219</v>
      </c>
      <c r="B220" s="3">
        <v>45145</v>
      </c>
      <c r="C220" s="3" t="str">
        <f>TEXT(Fruits_Vendor[[#This Row],[Order_Date]],"mmmm")</f>
        <v>August</v>
      </c>
      <c r="D220" s="3" t="str">
        <f>TEXT(Fruits_Vendor[[#This Row],[Order_Date]],"yyyy")</f>
        <v>2023</v>
      </c>
      <c r="E220">
        <v>2681</v>
      </c>
      <c r="F220" t="s">
        <v>18</v>
      </c>
      <c r="G220" t="s">
        <v>24</v>
      </c>
      <c r="H220" t="s">
        <v>25</v>
      </c>
      <c r="I220" t="s">
        <v>32</v>
      </c>
      <c r="J220">
        <v>41</v>
      </c>
      <c r="K220">
        <v>1.45</v>
      </c>
      <c r="L220">
        <v>0.03</v>
      </c>
      <c r="M220" t="s">
        <v>37</v>
      </c>
      <c r="N220" t="s">
        <v>39</v>
      </c>
      <c r="O220">
        <v>1</v>
      </c>
      <c r="P220">
        <v>3.4</v>
      </c>
      <c r="Q220">
        <v>57.666499999999992</v>
      </c>
    </row>
    <row r="221" spans="1:17" x14ac:dyDescent="0.25">
      <c r="A221">
        <v>1220</v>
      </c>
      <c r="B221" s="3">
        <v>45146</v>
      </c>
      <c r="C221" s="3" t="str">
        <f>TEXT(Fruits_Vendor[[#This Row],[Order_Date]],"mmmm")</f>
        <v>August</v>
      </c>
      <c r="D221" s="3" t="str">
        <f>TEXT(Fruits_Vendor[[#This Row],[Order_Date]],"yyyy")</f>
        <v>2023</v>
      </c>
      <c r="E221">
        <v>2556</v>
      </c>
      <c r="F221" t="s">
        <v>15</v>
      </c>
      <c r="G221" t="s">
        <v>19</v>
      </c>
      <c r="H221" t="s">
        <v>25</v>
      </c>
      <c r="I221" t="s">
        <v>32</v>
      </c>
      <c r="J221">
        <v>3</v>
      </c>
      <c r="K221">
        <v>4.18</v>
      </c>
      <c r="L221">
        <v>0.05</v>
      </c>
      <c r="M221" t="s">
        <v>37</v>
      </c>
      <c r="N221" t="s">
        <v>38</v>
      </c>
      <c r="O221">
        <v>5</v>
      </c>
      <c r="P221">
        <v>3.7</v>
      </c>
      <c r="Q221">
        <v>11.913</v>
      </c>
    </row>
    <row r="222" spans="1:17" x14ac:dyDescent="0.25">
      <c r="A222">
        <v>1221</v>
      </c>
      <c r="B222" s="3">
        <v>45147</v>
      </c>
      <c r="C222" s="3" t="str">
        <f>TEXT(Fruits_Vendor[[#This Row],[Order_Date]],"mmmm")</f>
        <v>August</v>
      </c>
      <c r="D222" s="3" t="str">
        <f>TEXT(Fruits_Vendor[[#This Row],[Order_Date]],"yyyy")</f>
        <v>2023</v>
      </c>
      <c r="E222">
        <v>2573</v>
      </c>
      <c r="F222" t="s">
        <v>15</v>
      </c>
      <c r="G222" t="s">
        <v>24</v>
      </c>
      <c r="H222" t="s">
        <v>30</v>
      </c>
      <c r="I222" t="s">
        <v>32</v>
      </c>
      <c r="J222">
        <v>28</v>
      </c>
      <c r="K222">
        <v>1.95</v>
      </c>
      <c r="L222">
        <v>0.19</v>
      </c>
      <c r="M222" t="s">
        <v>36</v>
      </c>
      <c r="N222" t="s">
        <v>38</v>
      </c>
      <c r="O222">
        <v>4</v>
      </c>
      <c r="P222">
        <v>3.5</v>
      </c>
      <c r="Q222">
        <v>44.226000000000013</v>
      </c>
    </row>
    <row r="223" spans="1:17" x14ac:dyDescent="0.25">
      <c r="A223">
        <v>1222</v>
      </c>
      <c r="B223" s="3">
        <v>45148</v>
      </c>
      <c r="C223" s="3" t="str">
        <f>TEXT(Fruits_Vendor[[#This Row],[Order_Date]],"mmmm")</f>
        <v>August</v>
      </c>
      <c r="D223" s="3" t="str">
        <f>TEXT(Fruits_Vendor[[#This Row],[Order_Date]],"yyyy")</f>
        <v>2023</v>
      </c>
      <c r="E223">
        <v>2952</v>
      </c>
      <c r="F223" t="s">
        <v>17</v>
      </c>
      <c r="G223" t="s">
        <v>24</v>
      </c>
      <c r="H223" t="s">
        <v>26</v>
      </c>
      <c r="I223" t="s">
        <v>31</v>
      </c>
      <c r="J223">
        <v>10</v>
      </c>
      <c r="K223">
        <v>0.6</v>
      </c>
      <c r="L223">
        <v>0.11</v>
      </c>
      <c r="M223" t="s">
        <v>37</v>
      </c>
      <c r="N223" t="s">
        <v>39</v>
      </c>
      <c r="O223">
        <v>5</v>
      </c>
      <c r="P223">
        <v>2.5</v>
      </c>
      <c r="Q223">
        <v>5.34</v>
      </c>
    </row>
    <row r="224" spans="1:17" x14ac:dyDescent="0.25">
      <c r="A224">
        <v>1223</v>
      </c>
      <c r="B224" s="3">
        <v>45149</v>
      </c>
      <c r="C224" s="3" t="str">
        <f>TEXT(Fruits_Vendor[[#This Row],[Order_Date]],"mmmm")</f>
        <v>August</v>
      </c>
      <c r="D224" s="3" t="str">
        <f>TEXT(Fruits_Vendor[[#This Row],[Order_Date]],"yyyy")</f>
        <v>2023</v>
      </c>
      <c r="E224">
        <v>2645</v>
      </c>
      <c r="F224" t="s">
        <v>17</v>
      </c>
      <c r="G224" t="s">
        <v>24</v>
      </c>
      <c r="H224" t="s">
        <v>27</v>
      </c>
      <c r="I224" t="s">
        <v>31</v>
      </c>
      <c r="J224">
        <v>35</v>
      </c>
      <c r="K224">
        <v>1.19</v>
      </c>
      <c r="L224">
        <v>0.15</v>
      </c>
      <c r="M224" t="s">
        <v>34</v>
      </c>
      <c r="N224" t="s">
        <v>38</v>
      </c>
      <c r="O224">
        <v>3</v>
      </c>
      <c r="P224">
        <v>3.2</v>
      </c>
      <c r="Q224">
        <v>35.402500000000003</v>
      </c>
    </row>
    <row r="225" spans="1:17" x14ac:dyDescent="0.25">
      <c r="A225">
        <v>1224</v>
      </c>
      <c r="B225" s="3">
        <v>45150</v>
      </c>
      <c r="C225" s="3" t="str">
        <f>TEXT(Fruits_Vendor[[#This Row],[Order_Date]],"mmmm")</f>
        <v>August</v>
      </c>
      <c r="D225" s="3" t="str">
        <f>TEXT(Fruits_Vendor[[#This Row],[Order_Date]],"yyyy")</f>
        <v>2023</v>
      </c>
      <c r="E225">
        <v>2795</v>
      </c>
      <c r="F225" t="s">
        <v>15</v>
      </c>
      <c r="G225" t="s">
        <v>23</v>
      </c>
      <c r="H225" t="s">
        <v>26</v>
      </c>
      <c r="I225" t="s">
        <v>31</v>
      </c>
      <c r="J225">
        <v>29</v>
      </c>
      <c r="K225">
        <v>1.51</v>
      </c>
      <c r="L225">
        <v>0.11</v>
      </c>
      <c r="M225" t="s">
        <v>34</v>
      </c>
      <c r="N225" t="s">
        <v>39</v>
      </c>
      <c r="O225">
        <v>3</v>
      </c>
      <c r="P225">
        <v>3.6</v>
      </c>
      <c r="Q225">
        <v>38.973100000000002</v>
      </c>
    </row>
    <row r="226" spans="1:17" x14ac:dyDescent="0.25">
      <c r="A226">
        <v>1225</v>
      </c>
      <c r="B226" s="3">
        <v>45151</v>
      </c>
      <c r="C226" s="3" t="str">
        <f>TEXT(Fruits_Vendor[[#This Row],[Order_Date]],"mmmm")</f>
        <v>August</v>
      </c>
      <c r="D226" s="3" t="str">
        <f>TEXT(Fruits_Vendor[[#This Row],[Order_Date]],"yyyy")</f>
        <v>2023</v>
      </c>
      <c r="E226">
        <v>2027</v>
      </c>
      <c r="F226" t="s">
        <v>16</v>
      </c>
      <c r="G226" t="s">
        <v>23</v>
      </c>
      <c r="H226" t="s">
        <v>29</v>
      </c>
      <c r="I226" t="s">
        <v>31</v>
      </c>
      <c r="J226">
        <v>15</v>
      </c>
      <c r="K226">
        <v>4.8099999999999996</v>
      </c>
      <c r="L226">
        <v>0.11</v>
      </c>
      <c r="M226" t="s">
        <v>37</v>
      </c>
      <c r="N226" t="s">
        <v>38</v>
      </c>
      <c r="O226">
        <v>5</v>
      </c>
      <c r="P226">
        <v>3.5</v>
      </c>
      <c r="Q226">
        <v>64.213499999999996</v>
      </c>
    </row>
    <row r="227" spans="1:17" x14ac:dyDescent="0.25">
      <c r="A227">
        <v>1226</v>
      </c>
      <c r="B227" s="3">
        <v>45152</v>
      </c>
      <c r="C227" s="3" t="str">
        <f>TEXT(Fruits_Vendor[[#This Row],[Order_Date]],"mmmm")</f>
        <v>August</v>
      </c>
      <c r="D227" s="3" t="str">
        <f>TEXT(Fruits_Vendor[[#This Row],[Order_Date]],"yyyy")</f>
        <v>2023</v>
      </c>
      <c r="E227">
        <v>2619</v>
      </c>
      <c r="F227" t="s">
        <v>17</v>
      </c>
      <c r="G227" t="s">
        <v>22</v>
      </c>
      <c r="H227" t="s">
        <v>29</v>
      </c>
      <c r="I227" t="s">
        <v>32</v>
      </c>
      <c r="J227">
        <v>33</v>
      </c>
      <c r="K227">
        <v>3.08</v>
      </c>
      <c r="L227">
        <v>0.02</v>
      </c>
      <c r="M227" t="s">
        <v>34</v>
      </c>
      <c r="N227" t="s">
        <v>40</v>
      </c>
      <c r="O227">
        <v>3</v>
      </c>
      <c r="P227">
        <v>4.3</v>
      </c>
      <c r="Q227">
        <v>99.607199999999992</v>
      </c>
    </row>
    <row r="228" spans="1:17" x14ac:dyDescent="0.25">
      <c r="A228">
        <v>1227</v>
      </c>
      <c r="B228" s="3">
        <v>45153</v>
      </c>
      <c r="C228" s="3" t="str">
        <f>TEXT(Fruits_Vendor[[#This Row],[Order_Date]],"mmmm")</f>
        <v>August</v>
      </c>
      <c r="D228" s="3" t="str">
        <f>TEXT(Fruits_Vendor[[#This Row],[Order_Date]],"yyyy")</f>
        <v>2023</v>
      </c>
      <c r="E228">
        <v>2555</v>
      </c>
      <c r="F228" t="s">
        <v>18</v>
      </c>
      <c r="G228" t="s">
        <v>22</v>
      </c>
      <c r="H228" t="s">
        <v>26</v>
      </c>
      <c r="I228" t="s">
        <v>33</v>
      </c>
      <c r="J228">
        <v>7</v>
      </c>
      <c r="K228">
        <v>4.7</v>
      </c>
      <c r="L228">
        <v>7.0000000000000007E-2</v>
      </c>
      <c r="M228" t="s">
        <v>35</v>
      </c>
      <c r="N228" t="s">
        <v>38</v>
      </c>
      <c r="O228">
        <v>4</v>
      </c>
      <c r="P228">
        <v>3.5</v>
      </c>
      <c r="Q228">
        <v>30.597000000000001</v>
      </c>
    </row>
    <row r="229" spans="1:17" x14ac:dyDescent="0.25">
      <c r="A229">
        <v>1228</v>
      </c>
      <c r="B229" s="3">
        <v>45154</v>
      </c>
      <c r="C229" s="3" t="str">
        <f>TEXT(Fruits_Vendor[[#This Row],[Order_Date]],"mmmm")</f>
        <v>August</v>
      </c>
      <c r="D229" s="3" t="str">
        <f>TEXT(Fruits_Vendor[[#This Row],[Order_Date]],"yyyy")</f>
        <v>2023</v>
      </c>
      <c r="E229">
        <v>2339</v>
      </c>
      <c r="F229" t="s">
        <v>17</v>
      </c>
      <c r="G229" t="s">
        <v>24</v>
      </c>
      <c r="H229" t="s">
        <v>28</v>
      </c>
      <c r="I229" t="s">
        <v>31</v>
      </c>
      <c r="J229">
        <v>12</v>
      </c>
      <c r="K229">
        <v>3.09</v>
      </c>
      <c r="L229">
        <v>0.06</v>
      </c>
      <c r="M229" t="s">
        <v>37</v>
      </c>
      <c r="N229" t="s">
        <v>40</v>
      </c>
      <c r="O229">
        <v>2</v>
      </c>
      <c r="P229">
        <v>3.7</v>
      </c>
      <c r="Q229">
        <v>34.855200000000004</v>
      </c>
    </row>
    <row r="230" spans="1:17" x14ac:dyDescent="0.25">
      <c r="A230">
        <v>1229</v>
      </c>
      <c r="B230" s="3">
        <v>45155</v>
      </c>
      <c r="C230" s="3" t="str">
        <f>TEXT(Fruits_Vendor[[#This Row],[Order_Date]],"mmmm")</f>
        <v>August</v>
      </c>
      <c r="D230" s="3" t="str">
        <f>TEXT(Fruits_Vendor[[#This Row],[Order_Date]],"yyyy")</f>
        <v>2023</v>
      </c>
      <c r="E230">
        <v>2797</v>
      </c>
      <c r="F230" t="s">
        <v>17</v>
      </c>
      <c r="G230" t="s">
        <v>19</v>
      </c>
      <c r="H230" t="s">
        <v>25</v>
      </c>
      <c r="I230" t="s">
        <v>33</v>
      </c>
      <c r="J230">
        <v>49</v>
      </c>
      <c r="K230">
        <v>2.66</v>
      </c>
      <c r="L230">
        <v>0.08</v>
      </c>
      <c r="M230" t="s">
        <v>36</v>
      </c>
      <c r="N230" t="s">
        <v>40</v>
      </c>
      <c r="O230">
        <v>3</v>
      </c>
      <c r="P230">
        <v>3.6</v>
      </c>
      <c r="Q230">
        <v>119.9128</v>
      </c>
    </row>
    <row r="231" spans="1:17" x14ac:dyDescent="0.25">
      <c r="A231">
        <v>1230</v>
      </c>
      <c r="B231" s="3">
        <v>45156</v>
      </c>
      <c r="C231" s="3" t="str">
        <f>TEXT(Fruits_Vendor[[#This Row],[Order_Date]],"mmmm")</f>
        <v>August</v>
      </c>
      <c r="D231" s="3" t="str">
        <f>TEXT(Fruits_Vendor[[#This Row],[Order_Date]],"yyyy")</f>
        <v>2023</v>
      </c>
      <c r="E231">
        <v>2957</v>
      </c>
      <c r="F231" t="s">
        <v>18</v>
      </c>
      <c r="G231" t="s">
        <v>21</v>
      </c>
      <c r="H231" t="s">
        <v>29</v>
      </c>
      <c r="I231" t="s">
        <v>31</v>
      </c>
      <c r="J231">
        <v>30</v>
      </c>
      <c r="K231">
        <v>1.91</v>
      </c>
      <c r="L231">
        <v>0.16</v>
      </c>
      <c r="M231" t="s">
        <v>35</v>
      </c>
      <c r="N231" t="s">
        <v>40</v>
      </c>
      <c r="O231">
        <v>3</v>
      </c>
      <c r="P231">
        <v>4.4000000000000004</v>
      </c>
      <c r="Q231">
        <v>48.131999999999998</v>
      </c>
    </row>
    <row r="232" spans="1:17" x14ac:dyDescent="0.25">
      <c r="A232">
        <v>1231</v>
      </c>
      <c r="B232" s="3">
        <v>45157</v>
      </c>
      <c r="C232" s="3" t="str">
        <f>TEXT(Fruits_Vendor[[#This Row],[Order_Date]],"mmmm")</f>
        <v>August</v>
      </c>
      <c r="D232" s="3" t="str">
        <f>TEXT(Fruits_Vendor[[#This Row],[Order_Date]],"yyyy")</f>
        <v>2023</v>
      </c>
      <c r="E232">
        <v>2330</v>
      </c>
      <c r="F232" t="s">
        <v>15</v>
      </c>
      <c r="G232" t="s">
        <v>23</v>
      </c>
      <c r="H232" t="s">
        <v>25</v>
      </c>
      <c r="I232" t="s">
        <v>31</v>
      </c>
      <c r="J232">
        <v>21</v>
      </c>
      <c r="K232">
        <v>3.23</v>
      </c>
      <c r="L232">
        <v>7.0000000000000007E-2</v>
      </c>
      <c r="M232" t="s">
        <v>37</v>
      </c>
      <c r="N232" t="s">
        <v>40</v>
      </c>
      <c r="O232">
        <v>5</v>
      </c>
      <c r="P232">
        <v>4.7</v>
      </c>
      <c r="Q232">
        <v>63.081899999999997</v>
      </c>
    </row>
    <row r="233" spans="1:17" x14ac:dyDescent="0.25">
      <c r="A233">
        <v>1232</v>
      </c>
      <c r="B233" s="3">
        <v>45158</v>
      </c>
      <c r="C233" s="3" t="str">
        <f>TEXT(Fruits_Vendor[[#This Row],[Order_Date]],"mmmm")</f>
        <v>August</v>
      </c>
      <c r="D233" s="3" t="str">
        <f>TEXT(Fruits_Vendor[[#This Row],[Order_Date]],"yyyy")</f>
        <v>2023</v>
      </c>
      <c r="E233">
        <v>2639</v>
      </c>
      <c r="F233" t="s">
        <v>18</v>
      </c>
      <c r="G233" t="s">
        <v>19</v>
      </c>
      <c r="H233" t="s">
        <v>29</v>
      </c>
      <c r="I233" t="s">
        <v>33</v>
      </c>
      <c r="J233">
        <v>31</v>
      </c>
      <c r="K233">
        <v>1.1299999999999999</v>
      </c>
      <c r="L233">
        <v>0.09</v>
      </c>
      <c r="M233" t="s">
        <v>36</v>
      </c>
      <c r="N233" t="s">
        <v>38</v>
      </c>
      <c r="O233">
        <v>4</v>
      </c>
      <c r="P233">
        <v>3.8</v>
      </c>
      <c r="Q233">
        <v>31.877299999999991</v>
      </c>
    </row>
    <row r="234" spans="1:17" x14ac:dyDescent="0.25">
      <c r="A234">
        <v>1233</v>
      </c>
      <c r="B234" s="3">
        <v>45159</v>
      </c>
      <c r="C234" s="3" t="str">
        <f>TEXT(Fruits_Vendor[[#This Row],[Order_Date]],"mmmm")</f>
        <v>August</v>
      </c>
      <c r="D234" s="3" t="str">
        <f>TEXT(Fruits_Vendor[[#This Row],[Order_Date]],"yyyy")</f>
        <v>2023</v>
      </c>
      <c r="E234">
        <v>2505</v>
      </c>
      <c r="F234" t="s">
        <v>15</v>
      </c>
      <c r="G234" t="s">
        <v>20</v>
      </c>
      <c r="H234" t="s">
        <v>30</v>
      </c>
      <c r="I234" t="s">
        <v>32</v>
      </c>
      <c r="J234">
        <v>24</v>
      </c>
      <c r="K234">
        <v>4.54</v>
      </c>
      <c r="L234">
        <v>0.08</v>
      </c>
      <c r="M234" t="s">
        <v>34</v>
      </c>
      <c r="N234" t="s">
        <v>39</v>
      </c>
      <c r="O234">
        <v>2</v>
      </c>
      <c r="P234">
        <v>4.5</v>
      </c>
      <c r="Q234">
        <v>100.2432</v>
      </c>
    </row>
    <row r="235" spans="1:17" x14ac:dyDescent="0.25">
      <c r="A235">
        <v>1234</v>
      </c>
      <c r="B235" s="3">
        <v>45160</v>
      </c>
      <c r="C235" s="3" t="str">
        <f>TEXT(Fruits_Vendor[[#This Row],[Order_Date]],"mmmm")</f>
        <v>August</v>
      </c>
      <c r="D235" s="3" t="str">
        <f>TEXT(Fruits_Vendor[[#This Row],[Order_Date]],"yyyy")</f>
        <v>2023</v>
      </c>
      <c r="E235">
        <v>2347</v>
      </c>
      <c r="F235" t="s">
        <v>15</v>
      </c>
      <c r="G235" t="s">
        <v>23</v>
      </c>
      <c r="H235" t="s">
        <v>27</v>
      </c>
      <c r="I235" t="s">
        <v>31</v>
      </c>
      <c r="J235">
        <v>20</v>
      </c>
      <c r="K235">
        <v>4.2300000000000004</v>
      </c>
      <c r="L235">
        <v>0.02</v>
      </c>
      <c r="M235" t="s">
        <v>36</v>
      </c>
      <c r="N235" t="s">
        <v>40</v>
      </c>
      <c r="O235">
        <v>5</v>
      </c>
      <c r="P235">
        <v>3.2</v>
      </c>
      <c r="Q235">
        <v>82.908000000000001</v>
      </c>
    </row>
    <row r="236" spans="1:17" x14ac:dyDescent="0.25">
      <c r="A236">
        <v>1235</v>
      </c>
      <c r="B236" s="3">
        <v>45161</v>
      </c>
      <c r="C236" s="3" t="str">
        <f>TEXT(Fruits_Vendor[[#This Row],[Order_Date]],"mmmm")</f>
        <v>August</v>
      </c>
      <c r="D236" s="3" t="str">
        <f>TEXT(Fruits_Vendor[[#This Row],[Order_Date]],"yyyy")</f>
        <v>2023</v>
      </c>
      <c r="E236">
        <v>2472</v>
      </c>
      <c r="F236" t="s">
        <v>15</v>
      </c>
      <c r="G236" t="s">
        <v>23</v>
      </c>
      <c r="H236" t="s">
        <v>29</v>
      </c>
      <c r="I236" t="s">
        <v>31</v>
      </c>
      <c r="J236">
        <v>37</v>
      </c>
      <c r="K236">
        <v>1.93</v>
      </c>
      <c r="L236">
        <v>0.09</v>
      </c>
      <c r="M236" t="s">
        <v>35</v>
      </c>
      <c r="N236" t="s">
        <v>38</v>
      </c>
      <c r="O236">
        <v>5</v>
      </c>
      <c r="P236">
        <v>3.9</v>
      </c>
      <c r="Q236">
        <v>64.983099999999993</v>
      </c>
    </row>
    <row r="237" spans="1:17" x14ac:dyDescent="0.25">
      <c r="A237">
        <v>1236</v>
      </c>
      <c r="B237" s="3">
        <v>45162</v>
      </c>
      <c r="C237" s="3" t="str">
        <f>TEXT(Fruits_Vendor[[#This Row],[Order_Date]],"mmmm")</f>
        <v>August</v>
      </c>
      <c r="D237" s="3" t="str">
        <f>TEXT(Fruits_Vendor[[#This Row],[Order_Date]],"yyyy")</f>
        <v>2023</v>
      </c>
      <c r="E237">
        <v>2230</v>
      </c>
      <c r="F237" t="s">
        <v>18</v>
      </c>
      <c r="G237" t="s">
        <v>22</v>
      </c>
      <c r="H237" t="s">
        <v>25</v>
      </c>
      <c r="I237" t="s">
        <v>31</v>
      </c>
      <c r="J237">
        <v>4</v>
      </c>
      <c r="K237">
        <v>4.79</v>
      </c>
      <c r="L237">
        <v>0.04</v>
      </c>
      <c r="M237" t="s">
        <v>34</v>
      </c>
      <c r="N237" t="s">
        <v>40</v>
      </c>
      <c r="O237">
        <v>6</v>
      </c>
      <c r="P237">
        <v>3.4</v>
      </c>
      <c r="Q237">
        <v>18.393599999999999</v>
      </c>
    </row>
    <row r="238" spans="1:17" x14ac:dyDescent="0.25">
      <c r="A238">
        <v>1237</v>
      </c>
      <c r="B238" s="3">
        <v>45163</v>
      </c>
      <c r="C238" s="3" t="str">
        <f>TEXT(Fruits_Vendor[[#This Row],[Order_Date]],"mmmm")</f>
        <v>August</v>
      </c>
      <c r="D238" s="3" t="str">
        <f>TEXT(Fruits_Vendor[[#This Row],[Order_Date]],"yyyy")</f>
        <v>2023</v>
      </c>
      <c r="E238">
        <v>2189</v>
      </c>
      <c r="F238" t="s">
        <v>15</v>
      </c>
      <c r="G238" t="s">
        <v>21</v>
      </c>
      <c r="H238" t="s">
        <v>30</v>
      </c>
      <c r="I238" t="s">
        <v>33</v>
      </c>
      <c r="J238">
        <v>28</v>
      </c>
      <c r="K238">
        <v>4.21</v>
      </c>
      <c r="L238">
        <v>0.04</v>
      </c>
      <c r="M238" t="s">
        <v>37</v>
      </c>
      <c r="N238" t="s">
        <v>38</v>
      </c>
      <c r="O238">
        <v>4</v>
      </c>
      <c r="P238">
        <v>3.5</v>
      </c>
      <c r="Q238">
        <v>113.1648</v>
      </c>
    </row>
    <row r="239" spans="1:17" x14ac:dyDescent="0.25">
      <c r="A239">
        <v>1238</v>
      </c>
      <c r="B239" s="3">
        <v>45164</v>
      </c>
      <c r="C239" s="3" t="str">
        <f>TEXT(Fruits_Vendor[[#This Row],[Order_Date]],"mmmm")</f>
        <v>August</v>
      </c>
      <c r="D239" s="3" t="str">
        <f>TEXT(Fruits_Vendor[[#This Row],[Order_Date]],"yyyy")</f>
        <v>2023</v>
      </c>
      <c r="E239">
        <v>2224</v>
      </c>
      <c r="F239" t="s">
        <v>16</v>
      </c>
      <c r="G239" t="s">
        <v>21</v>
      </c>
      <c r="H239" t="s">
        <v>29</v>
      </c>
      <c r="I239" t="s">
        <v>32</v>
      </c>
      <c r="J239">
        <v>44</v>
      </c>
      <c r="K239">
        <v>3.5</v>
      </c>
      <c r="L239">
        <v>0.02</v>
      </c>
      <c r="M239" t="s">
        <v>34</v>
      </c>
      <c r="N239" t="s">
        <v>38</v>
      </c>
      <c r="O239">
        <v>2</v>
      </c>
      <c r="P239">
        <v>4.3</v>
      </c>
      <c r="Q239">
        <v>150.91999999999999</v>
      </c>
    </row>
    <row r="240" spans="1:17" x14ac:dyDescent="0.25">
      <c r="A240">
        <v>1239</v>
      </c>
      <c r="B240" s="3">
        <v>45165</v>
      </c>
      <c r="C240" s="3" t="str">
        <f>TEXT(Fruits_Vendor[[#This Row],[Order_Date]],"mmmm")</f>
        <v>August</v>
      </c>
      <c r="D240" s="3" t="str">
        <f>TEXT(Fruits_Vendor[[#This Row],[Order_Date]],"yyyy")</f>
        <v>2023</v>
      </c>
      <c r="E240">
        <v>2384</v>
      </c>
      <c r="F240" t="s">
        <v>18</v>
      </c>
      <c r="G240" t="s">
        <v>20</v>
      </c>
      <c r="H240" t="s">
        <v>28</v>
      </c>
      <c r="I240" t="s">
        <v>33</v>
      </c>
      <c r="J240">
        <v>20</v>
      </c>
      <c r="K240">
        <v>1.05</v>
      </c>
      <c r="L240">
        <v>7.0000000000000007E-2</v>
      </c>
      <c r="M240" t="s">
        <v>37</v>
      </c>
      <c r="N240" t="s">
        <v>38</v>
      </c>
      <c r="O240">
        <v>4</v>
      </c>
      <c r="P240">
        <v>4.7</v>
      </c>
      <c r="Q240">
        <v>19.53</v>
      </c>
    </row>
    <row r="241" spans="1:17" x14ac:dyDescent="0.25">
      <c r="A241">
        <v>1240</v>
      </c>
      <c r="B241" s="3">
        <v>45166</v>
      </c>
      <c r="C241" s="3" t="str">
        <f>TEXT(Fruits_Vendor[[#This Row],[Order_Date]],"mmmm")</f>
        <v>August</v>
      </c>
      <c r="D241" s="3" t="str">
        <f>TEXT(Fruits_Vendor[[#This Row],[Order_Date]],"yyyy")</f>
        <v>2023</v>
      </c>
      <c r="E241">
        <v>2376</v>
      </c>
      <c r="F241" t="s">
        <v>16</v>
      </c>
      <c r="G241" t="s">
        <v>20</v>
      </c>
      <c r="H241" t="s">
        <v>27</v>
      </c>
      <c r="I241" t="s">
        <v>33</v>
      </c>
      <c r="J241">
        <v>24</v>
      </c>
      <c r="K241">
        <v>2.65</v>
      </c>
      <c r="L241">
        <v>0.15</v>
      </c>
      <c r="M241" t="s">
        <v>37</v>
      </c>
      <c r="N241" t="s">
        <v>39</v>
      </c>
      <c r="O241">
        <v>2</v>
      </c>
      <c r="P241">
        <v>2.8</v>
      </c>
      <c r="Q241">
        <v>54.06</v>
      </c>
    </row>
    <row r="242" spans="1:17" x14ac:dyDescent="0.25">
      <c r="A242">
        <v>1241</v>
      </c>
      <c r="B242" s="3">
        <v>45167</v>
      </c>
      <c r="C242" s="3" t="str">
        <f>TEXT(Fruits_Vendor[[#This Row],[Order_Date]],"mmmm")</f>
        <v>August</v>
      </c>
      <c r="D242" s="3" t="str">
        <f>TEXT(Fruits_Vendor[[#This Row],[Order_Date]],"yyyy")</f>
        <v>2023</v>
      </c>
      <c r="E242">
        <v>2282</v>
      </c>
      <c r="F242" t="s">
        <v>15</v>
      </c>
      <c r="G242" t="s">
        <v>23</v>
      </c>
      <c r="H242" t="s">
        <v>29</v>
      </c>
      <c r="I242" t="s">
        <v>32</v>
      </c>
      <c r="J242">
        <v>49</v>
      </c>
      <c r="K242">
        <v>2.78</v>
      </c>
      <c r="L242">
        <v>0.06</v>
      </c>
      <c r="M242" t="s">
        <v>36</v>
      </c>
      <c r="N242" t="s">
        <v>38</v>
      </c>
      <c r="O242">
        <v>4</v>
      </c>
      <c r="P242">
        <v>4.0999999999999996</v>
      </c>
      <c r="Q242">
        <v>128.04679999999999</v>
      </c>
    </row>
    <row r="243" spans="1:17" x14ac:dyDescent="0.25">
      <c r="A243">
        <v>1242</v>
      </c>
      <c r="B243" s="3">
        <v>45168</v>
      </c>
      <c r="C243" s="3" t="str">
        <f>TEXT(Fruits_Vendor[[#This Row],[Order_Date]],"mmmm")</f>
        <v>August</v>
      </c>
      <c r="D243" s="3" t="str">
        <f>TEXT(Fruits_Vendor[[#This Row],[Order_Date]],"yyyy")</f>
        <v>2023</v>
      </c>
      <c r="E243">
        <v>2957</v>
      </c>
      <c r="F243" t="s">
        <v>17</v>
      </c>
      <c r="G243" t="s">
        <v>24</v>
      </c>
      <c r="H243" t="s">
        <v>30</v>
      </c>
      <c r="I243" t="s">
        <v>33</v>
      </c>
      <c r="J243">
        <v>32</v>
      </c>
      <c r="K243">
        <v>1.55</v>
      </c>
      <c r="L243">
        <v>0.06</v>
      </c>
      <c r="M243" t="s">
        <v>36</v>
      </c>
      <c r="N243" t="s">
        <v>38</v>
      </c>
      <c r="O243">
        <v>5</v>
      </c>
      <c r="P243">
        <v>4</v>
      </c>
      <c r="Q243">
        <v>46.624000000000002</v>
      </c>
    </row>
    <row r="244" spans="1:17" x14ac:dyDescent="0.25">
      <c r="A244">
        <v>1243</v>
      </c>
      <c r="B244" s="3">
        <v>45169</v>
      </c>
      <c r="C244" s="3" t="str">
        <f>TEXT(Fruits_Vendor[[#This Row],[Order_Date]],"mmmm")</f>
        <v>August</v>
      </c>
      <c r="D244" s="3" t="str">
        <f>TEXT(Fruits_Vendor[[#This Row],[Order_Date]],"yyyy")</f>
        <v>2023</v>
      </c>
      <c r="E244">
        <v>2632</v>
      </c>
      <c r="F244" t="s">
        <v>15</v>
      </c>
      <c r="G244" t="s">
        <v>22</v>
      </c>
      <c r="H244" t="s">
        <v>28</v>
      </c>
      <c r="I244" t="s">
        <v>32</v>
      </c>
      <c r="J244">
        <v>41</v>
      </c>
      <c r="K244">
        <v>0.86</v>
      </c>
      <c r="L244">
        <v>0.13</v>
      </c>
      <c r="M244" t="s">
        <v>36</v>
      </c>
      <c r="N244" t="s">
        <v>39</v>
      </c>
      <c r="O244">
        <v>5</v>
      </c>
      <c r="P244">
        <v>2.8</v>
      </c>
      <c r="Q244">
        <v>30.676200000000001</v>
      </c>
    </row>
    <row r="245" spans="1:17" x14ac:dyDescent="0.25">
      <c r="A245">
        <v>1244</v>
      </c>
      <c r="B245" s="3">
        <v>45170</v>
      </c>
      <c r="C245" s="3" t="str">
        <f>TEXT(Fruits_Vendor[[#This Row],[Order_Date]],"mmmm")</f>
        <v>September</v>
      </c>
      <c r="D245" s="3" t="str">
        <f>TEXT(Fruits_Vendor[[#This Row],[Order_Date]],"yyyy")</f>
        <v>2023</v>
      </c>
      <c r="E245">
        <v>2627</v>
      </c>
      <c r="F245" t="s">
        <v>16</v>
      </c>
      <c r="G245" t="s">
        <v>22</v>
      </c>
      <c r="H245" t="s">
        <v>26</v>
      </c>
      <c r="I245" t="s">
        <v>31</v>
      </c>
      <c r="J245">
        <v>36</v>
      </c>
      <c r="K245">
        <v>4</v>
      </c>
      <c r="L245">
        <v>0.04</v>
      </c>
      <c r="M245" t="s">
        <v>35</v>
      </c>
      <c r="N245" t="s">
        <v>39</v>
      </c>
      <c r="O245">
        <v>1</v>
      </c>
      <c r="P245">
        <v>3</v>
      </c>
      <c r="Q245">
        <v>138.24</v>
      </c>
    </row>
    <row r="246" spans="1:17" x14ac:dyDescent="0.25">
      <c r="A246">
        <v>1245</v>
      </c>
      <c r="B246" s="3">
        <v>45171</v>
      </c>
      <c r="C246" s="3" t="str">
        <f>TEXT(Fruits_Vendor[[#This Row],[Order_Date]],"mmmm")</f>
        <v>September</v>
      </c>
      <c r="D246" s="3" t="str">
        <f>TEXT(Fruits_Vendor[[#This Row],[Order_Date]],"yyyy")</f>
        <v>2023</v>
      </c>
      <c r="E246">
        <v>2972</v>
      </c>
      <c r="F246" t="s">
        <v>16</v>
      </c>
      <c r="G246" t="s">
        <v>23</v>
      </c>
      <c r="H246" t="s">
        <v>30</v>
      </c>
      <c r="I246" t="s">
        <v>32</v>
      </c>
      <c r="J246">
        <v>34</v>
      </c>
      <c r="K246">
        <v>1.05</v>
      </c>
      <c r="L246">
        <v>0.18</v>
      </c>
      <c r="M246" t="s">
        <v>35</v>
      </c>
      <c r="N246" t="s">
        <v>38</v>
      </c>
      <c r="O246">
        <v>3</v>
      </c>
      <c r="P246">
        <v>3.3</v>
      </c>
      <c r="Q246">
        <v>29.274000000000001</v>
      </c>
    </row>
    <row r="247" spans="1:17" x14ac:dyDescent="0.25">
      <c r="A247">
        <v>1246</v>
      </c>
      <c r="B247" s="3">
        <v>45172</v>
      </c>
      <c r="C247" s="3" t="str">
        <f>TEXT(Fruits_Vendor[[#This Row],[Order_Date]],"mmmm")</f>
        <v>September</v>
      </c>
      <c r="D247" s="3" t="str">
        <f>TEXT(Fruits_Vendor[[#This Row],[Order_Date]],"yyyy")</f>
        <v>2023</v>
      </c>
      <c r="E247">
        <v>2744</v>
      </c>
      <c r="F247" t="s">
        <v>18</v>
      </c>
      <c r="G247" t="s">
        <v>19</v>
      </c>
      <c r="H247" t="s">
        <v>30</v>
      </c>
      <c r="I247" t="s">
        <v>31</v>
      </c>
      <c r="J247">
        <v>36</v>
      </c>
      <c r="K247">
        <v>3.17</v>
      </c>
      <c r="L247">
        <v>0.1</v>
      </c>
      <c r="M247" t="s">
        <v>36</v>
      </c>
      <c r="N247" t="s">
        <v>39</v>
      </c>
      <c r="O247">
        <v>6</v>
      </c>
      <c r="P247">
        <v>2.9</v>
      </c>
      <c r="Q247">
        <v>102.708</v>
      </c>
    </row>
    <row r="248" spans="1:17" x14ac:dyDescent="0.25">
      <c r="A248">
        <v>1247</v>
      </c>
      <c r="B248" s="3">
        <v>45173</v>
      </c>
      <c r="C248" s="3" t="str">
        <f>TEXT(Fruits_Vendor[[#This Row],[Order_Date]],"mmmm")</f>
        <v>September</v>
      </c>
      <c r="D248" s="3" t="str">
        <f>TEXT(Fruits_Vendor[[#This Row],[Order_Date]],"yyyy")</f>
        <v>2023</v>
      </c>
      <c r="E248">
        <v>2258</v>
      </c>
      <c r="F248" t="s">
        <v>17</v>
      </c>
      <c r="G248" t="s">
        <v>24</v>
      </c>
      <c r="H248" t="s">
        <v>28</v>
      </c>
      <c r="I248" t="s">
        <v>33</v>
      </c>
      <c r="J248">
        <v>2</v>
      </c>
      <c r="K248">
        <v>4.71</v>
      </c>
      <c r="L248">
        <v>0.09</v>
      </c>
      <c r="M248" t="s">
        <v>35</v>
      </c>
      <c r="N248" t="s">
        <v>40</v>
      </c>
      <c r="O248">
        <v>4</v>
      </c>
      <c r="P248">
        <v>3.1</v>
      </c>
      <c r="Q248">
        <v>8.5722000000000005</v>
      </c>
    </row>
    <row r="249" spans="1:17" x14ac:dyDescent="0.25">
      <c r="A249">
        <v>1248</v>
      </c>
      <c r="B249" s="3">
        <v>45174</v>
      </c>
      <c r="C249" s="3" t="str">
        <f>TEXT(Fruits_Vendor[[#This Row],[Order_Date]],"mmmm")</f>
        <v>September</v>
      </c>
      <c r="D249" s="3" t="str">
        <f>TEXT(Fruits_Vendor[[#This Row],[Order_Date]],"yyyy")</f>
        <v>2023</v>
      </c>
      <c r="E249">
        <v>2358</v>
      </c>
      <c r="F249" t="s">
        <v>18</v>
      </c>
      <c r="G249" t="s">
        <v>23</v>
      </c>
      <c r="H249" t="s">
        <v>30</v>
      </c>
      <c r="I249" t="s">
        <v>33</v>
      </c>
      <c r="J249">
        <v>15</v>
      </c>
      <c r="K249">
        <v>4.4400000000000004</v>
      </c>
      <c r="L249">
        <v>0.11</v>
      </c>
      <c r="M249" t="s">
        <v>34</v>
      </c>
      <c r="N249" t="s">
        <v>40</v>
      </c>
      <c r="O249">
        <v>6</v>
      </c>
      <c r="P249">
        <v>3.2</v>
      </c>
      <c r="Q249">
        <v>59.274000000000008</v>
      </c>
    </row>
    <row r="250" spans="1:17" x14ac:dyDescent="0.25">
      <c r="A250">
        <v>1249</v>
      </c>
      <c r="B250" s="3">
        <v>45175</v>
      </c>
      <c r="C250" s="3" t="str">
        <f>TEXT(Fruits_Vendor[[#This Row],[Order_Date]],"mmmm")</f>
        <v>September</v>
      </c>
      <c r="D250" s="3" t="str">
        <f>TEXT(Fruits_Vendor[[#This Row],[Order_Date]],"yyyy")</f>
        <v>2023</v>
      </c>
      <c r="E250">
        <v>2709</v>
      </c>
      <c r="F250" t="s">
        <v>16</v>
      </c>
      <c r="G250" t="s">
        <v>24</v>
      </c>
      <c r="H250" t="s">
        <v>28</v>
      </c>
      <c r="I250" t="s">
        <v>31</v>
      </c>
      <c r="J250">
        <v>34</v>
      </c>
      <c r="K250">
        <v>1.75</v>
      </c>
      <c r="L250">
        <v>0.03</v>
      </c>
      <c r="M250" t="s">
        <v>34</v>
      </c>
      <c r="N250" t="s">
        <v>39</v>
      </c>
      <c r="O250">
        <v>1</v>
      </c>
      <c r="P250">
        <v>3.3</v>
      </c>
      <c r="Q250">
        <v>57.715000000000003</v>
      </c>
    </row>
    <row r="251" spans="1:17" x14ac:dyDescent="0.25">
      <c r="A251">
        <v>1250</v>
      </c>
      <c r="B251" s="3">
        <v>45176</v>
      </c>
      <c r="C251" s="3" t="str">
        <f>TEXT(Fruits_Vendor[[#This Row],[Order_Date]],"mmmm")</f>
        <v>September</v>
      </c>
      <c r="D251" s="3" t="str">
        <f>TEXT(Fruits_Vendor[[#This Row],[Order_Date]],"yyyy")</f>
        <v>2023</v>
      </c>
      <c r="E251">
        <v>2455</v>
      </c>
      <c r="F251" t="s">
        <v>15</v>
      </c>
      <c r="G251" t="s">
        <v>24</v>
      </c>
      <c r="H251" t="s">
        <v>29</v>
      </c>
      <c r="I251" t="s">
        <v>33</v>
      </c>
      <c r="J251">
        <v>36</v>
      </c>
      <c r="K251">
        <v>4.33</v>
      </c>
      <c r="L251">
        <v>0.12</v>
      </c>
      <c r="M251" t="s">
        <v>35</v>
      </c>
      <c r="N251" t="s">
        <v>39</v>
      </c>
      <c r="O251">
        <v>3</v>
      </c>
      <c r="P251">
        <v>4.4000000000000004</v>
      </c>
      <c r="Q251">
        <v>137.17439999999999</v>
      </c>
    </row>
    <row r="252" spans="1:17" x14ac:dyDescent="0.25">
      <c r="A252">
        <v>1251</v>
      </c>
      <c r="B252" s="3">
        <v>45177</v>
      </c>
      <c r="C252" s="3" t="str">
        <f>TEXT(Fruits_Vendor[[#This Row],[Order_Date]],"mmmm")</f>
        <v>September</v>
      </c>
      <c r="D252" s="3" t="str">
        <f>TEXT(Fruits_Vendor[[#This Row],[Order_Date]],"yyyy")</f>
        <v>2023</v>
      </c>
      <c r="E252">
        <v>2410</v>
      </c>
      <c r="F252" t="s">
        <v>17</v>
      </c>
      <c r="G252" t="s">
        <v>24</v>
      </c>
      <c r="H252" t="s">
        <v>28</v>
      </c>
      <c r="I252" t="s">
        <v>32</v>
      </c>
      <c r="J252">
        <v>6</v>
      </c>
      <c r="K252">
        <v>0.5</v>
      </c>
      <c r="L252">
        <v>7.0000000000000007E-2</v>
      </c>
      <c r="M252" t="s">
        <v>35</v>
      </c>
      <c r="N252" t="s">
        <v>38</v>
      </c>
      <c r="O252">
        <v>4</v>
      </c>
      <c r="P252">
        <v>3.9</v>
      </c>
      <c r="Q252">
        <v>2.79</v>
      </c>
    </row>
    <row r="253" spans="1:17" x14ac:dyDescent="0.25">
      <c r="A253">
        <v>1252</v>
      </c>
      <c r="B253" s="3">
        <v>45178</v>
      </c>
      <c r="C253" s="3" t="str">
        <f>TEXT(Fruits_Vendor[[#This Row],[Order_Date]],"mmmm")</f>
        <v>September</v>
      </c>
      <c r="D253" s="3" t="str">
        <f>TEXT(Fruits_Vendor[[#This Row],[Order_Date]],"yyyy")</f>
        <v>2023</v>
      </c>
      <c r="E253">
        <v>2648</v>
      </c>
      <c r="F253" t="s">
        <v>15</v>
      </c>
      <c r="G253" t="s">
        <v>23</v>
      </c>
      <c r="H253" t="s">
        <v>28</v>
      </c>
      <c r="I253" t="s">
        <v>31</v>
      </c>
      <c r="J253">
        <v>39</v>
      </c>
      <c r="K253">
        <v>0.57999999999999996</v>
      </c>
      <c r="L253">
        <v>0.18</v>
      </c>
      <c r="M253" t="s">
        <v>34</v>
      </c>
      <c r="N253" t="s">
        <v>39</v>
      </c>
      <c r="O253">
        <v>2</v>
      </c>
      <c r="P253">
        <v>5</v>
      </c>
      <c r="Q253">
        <v>18.548400000000001</v>
      </c>
    </row>
    <row r="254" spans="1:17" x14ac:dyDescent="0.25">
      <c r="A254">
        <v>1253</v>
      </c>
      <c r="B254" s="3">
        <v>45179</v>
      </c>
      <c r="C254" s="3" t="str">
        <f>TEXT(Fruits_Vendor[[#This Row],[Order_Date]],"mmmm")</f>
        <v>September</v>
      </c>
      <c r="D254" s="3" t="str">
        <f>TEXT(Fruits_Vendor[[#This Row],[Order_Date]],"yyyy")</f>
        <v>2023</v>
      </c>
      <c r="E254">
        <v>2317</v>
      </c>
      <c r="F254" t="s">
        <v>15</v>
      </c>
      <c r="G254" t="s">
        <v>22</v>
      </c>
      <c r="H254" t="s">
        <v>27</v>
      </c>
      <c r="I254" t="s">
        <v>33</v>
      </c>
      <c r="J254">
        <v>42</v>
      </c>
      <c r="K254">
        <v>3.21</v>
      </c>
      <c r="L254">
        <v>0.03</v>
      </c>
      <c r="M254" t="s">
        <v>37</v>
      </c>
      <c r="N254" t="s">
        <v>38</v>
      </c>
      <c r="O254">
        <v>3</v>
      </c>
      <c r="P254">
        <v>3.5</v>
      </c>
      <c r="Q254">
        <v>130.77539999999999</v>
      </c>
    </row>
    <row r="255" spans="1:17" x14ac:dyDescent="0.25">
      <c r="A255">
        <v>1254</v>
      </c>
      <c r="B255" s="3">
        <v>45180</v>
      </c>
      <c r="C255" s="3" t="str">
        <f>TEXT(Fruits_Vendor[[#This Row],[Order_Date]],"mmmm")</f>
        <v>September</v>
      </c>
      <c r="D255" s="3" t="str">
        <f>TEXT(Fruits_Vendor[[#This Row],[Order_Date]],"yyyy")</f>
        <v>2023</v>
      </c>
      <c r="E255">
        <v>2676</v>
      </c>
      <c r="F255" t="s">
        <v>17</v>
      </c>
      <c r="G255" t="s">
        <v>22</v>
      </c>
      <c r="H255" t="s">
        <v>28</v>
      </c>
      <c r="I255" t="s">
        <v>31</v>
      </c>
      <c r="J255">
        <v>12</v>
      </c>
      <c r="K255">
        <v>2.14</v>
      </c>
      <c r="L255">
        <v>0.1</v>
      </c>
      <c r="M255" t="s">
        <v>34</v>
      </c>
      <c r="N255" t="s">
        <v>40</v>
      </c>
      <c r="O255">
        <v>5</v>
      </c>
      <c r="P255">
        <v>4.4000000000000004</v>
      </c>
      <c r="Q255">
        <v>23.111999999999998</v>
      </c>
    </row>
    <row r="256" spans="1:17" x14ac:dyDescent="0.25">
      <c r="A256">
        <v>1255</v>
      </c>
      <c r="B256" s="3">
        <v>45181</v>
      </c>
      <c r="C256" s="3" t="str">
        <f>TEXT(Fruits_Vendor[[#This Row],[Order_Date]],"mmmm")</f>
        <v>September</v>
      </c>
      <c r="D256" s="3" t="str">
        <f>TEXT(Fruits_Vendor[[#This Row],[Order_Date]],"yyyy")</f>
        <v>2023</v>
      </c>
      <c r="E256">
        <v>2224</v>
      </c>
      <c r="F256" t="s">
        <v>18</v>
      </c>
      <c r="G256" t="s">
        <v>24</v>
      </c>
      <c r="H256" t="s">
        <v>28</v>
      </c>
      <c r="I256" t="s">
        <v>32</v>
      </c>
      <c r="J256">
        <v>3</v>
      </c>
      <c r="K256">
        <v>2.2400000000000002</v>
      </c>
      <c r="L256">
        <v>0.12</v>
      </c>
      <c r="M256" t="s">
        <v>34</v>
      </c>
      <c r="N256" t="s">
        <v>39</v>
      </c>
      <c r="O256">
        <v>1</v>
      </c>
      <c r="P256">
        <v>4.7</v>
      </c>
      <c r="Q256">
        <v>5.9136000000000006</v>
      </c>
    </row>
    <row r="257" spans="1:17" x14ac:dyDescent="0.25">
      <c r="A257">
        <v>1256</v>
      </c>
      <c r="B257" s="3">
        <v>45182</v>
      </c>
      <c r="C257" s="3" t="str">
        <f>TEXT(Fruits_Vendor[[#This Row],[Order_Date]],"mmmm")</f>
        <v>September</v>
      </c>
      <c r="D257" s="3" t="str">
        <f>TEXT(Fruits_Vendor[[#This Row],[Order_Date]],"yyyy")</f>
        <v>2023</v>
      </c>
      <c r="E257">
        <v>2818</v>
      </c>
      <c r="F257" t="s">
        <v>15</v>
      </c>
      <c r="G257" t="s">
        <v>19</v>
      </c>
      <c r="H257" t="s">
        <v>26</v>
      </c>
      <c r="I257" t="s">
        <v>32</v>
      </c>
      <c r="J257">
        <v>45</v>
      </c>
      <c r="K257">
        <v>3.04</v>
      </c>
      <c r="L257">
        <v>0.01</v>
      </c>
      <c r="M257" t="s">
        <v>35</v>
      </c>
      <c r="N257" t="s">
        <v>38</v>
      </c>
      <c r="O257">
        <v>3</v>
      </c>
      <c r="P257">
        <v>4.2</v>
      </c>
      <c r="Q257">
        <v>135.43199999999999</v>
      </c>
    </row>
    <row r="258" spans="1:17" x14ac:dyDescent="0.25">
      <c r="A258">
        <v>1257</v>
      </c>
      <c r="B258" s="3">
        <v>45183</v>
      </c>
      <c r="C258" s="3" t="str">
        <f>TEXT(Fruits_Vendor[[#This Row],[Order_Date]],"mmmm")</f>
        <v>September</v>
      </c>
      <c r="D258" s="3" t="str">
        <f>TEXT(Fruits_Vendor[[#This Row],[Order_Date]],"yyyy")</f>
        <v>2023</v>
      </c>
      <c r="E258">
        <v>2233</v>
      </c>
      <c r="F258" t="s">
        <v>16</v>
      </c>
      <c r="G258" t="s">
        <v>21</v>
      </c>
      <c r="H258" t="s">
        <v>29</v>
      </c>
      <c r="I258" t="s">
        <v>33</v>
      </c>
      <c r="J258">
        <v>18</v>
      </c>
      <c r="K258">
        <v>1.36</v>
      </c>
      <c r="L258">
        <v>7.0000000000000007E-2</v>
      </c>
      <c r="M258" t="s">
        <v>34</v>
      </c>
      <c r="N258" t="s">
        <v>38</v>
      </c>
      <c r="O258">
        <v>3</v>
      </c>
      <c r="P258">
        <v>3.5</v>
      </c>
      <c r="Q258">
        <v>22.766400000000001</v>
      </c>
    </row>
    <row r="259" spans="1:17" x14ac:dyDescent="0.25">
      <c r="A259">
        <v>1258</v>
      </c>
      <c r="B259" s="3">
        <v>45184</v>
      </c>
      <c r="C259" s="3" t="str">
        <f>TEXT(Fruits_Vendor[[#This Row],[Order_Date]],"mmmm")</f>
        <v>September</v>
      </c>
      <c r="D259" s="3" t="str">
        <f>TEXT(Fruits_Vendor[[#This Row],[Order_Date]],"yyyy")</f>
        <v>2023</v>
      </c>
      <c r="E259">
        <v>2683</v>
      </c>
      <c r="F259" t="s">
        <v>15</v>
      </c>
      <c r="G259" t="s">
        <v>23</v>
      </c>
      <c r="H259" t="s">
        <v>27</v>
      </c>
      <c r="I259" t="s">
        <v>32</v>
      </c>
      <c r="J259">
        <v>40</v>
      </c>
      <c r="K259">
        <v>1.45</v>
      </c>
      <c r="L259">
        <v>0.15</v>
      </c>
      <c r="M259" t="s">
        <v>35</v>
      </c>
      <c r="N259" t="s">
        <v>40</v>
      </c>
      <c r="O259">
        <v>5</v>
      </c>
      <c r="P259">
        <v>4.4000000000000004</v>
      </c>
      <c r="Q259">
        <v>49.3</v>
      </c>
    </row>
    <row r="260" spans="1:17" x14ac:dyDescent="0.25">
      <c r="A260">
        <v>1259</v>
      </c>
      <c r="B260" s="3">
        <v>45185</v>
      </c>
      <c r="C260" s="3" t="str">
        <f>TEXT(Fruits_Vendor[[#This Row],[Order_Date]],"mmmm")</f>
        <v>September</v>
      </c>
      <c r="D260" s="3" t="str">
        <f>TEXT(Fruits_Vendor[[#This Row],[Order_Date]],"yyyy")</f>
        <v>2023</v>
      </c>
      <c r="E260">
        <v>2663</v>
      </c>
      <c r="F260" t="s">
        <v>17</v>
      </c>
      <c r="G260" t="s">
        <v>21</v>
      </c>
      <c r="H260" t="s">
        <v>26</v>
      </c>
      <c r="I260" t="s">
        <v>31</v>
      </c>
      <c r="J260">
        <v>21</v>
      </c>
      <c r="K260">
        <v>2.68</v>
      </c>
      <c r="L260">
        <v>0.16</v>
      </c>
      <c r="M260" t="s">
        <v>35</v>
      </c>
      <c r="N260" t="s">
        <v>39</v>
      </c>
      <c r="O260">
        <v>4</v>
      </c>
      <c r="P260">
        <v>3</v>
      </c>
      <c r="Q260">
        <v>47.275199999999998</v>
      </c>
    </row>
    <row r="261" spans="1:17" x14ac:dyDescent="0.25">
      <c r="A261">
        <v>1260</v>
      </c>
      <c r="B261" s="3">
        <v>45186</v>
      </c>
      <c r="C261" s="3" t="str">
        <f>TEXT(Fruits_Vendor[[#This Row],[Order_Date]],"mmmm")</f>
        <v>September</v>
      </c>
      <c r="D261" s="3" t="str">
        <f>TEXT(Fruits_Vendor[[#This Row],[Order_Date]],"yyyy")</f>
        <v>2023</v>
      </c>
      <c r="E261">
        <v>2974</v>
      </c>
      <c r="F261" t="s">
        <v>17</v>
      </c>
      <c r="G261" t="s">
        <v>19</v>
      </c>
      <c r="H261" t="s">
        <v>25</v>
      </c>
      <c r="I261" t="s">
        <v>32</v>
      </c>
      <c r="J261">
        <v>15</v>
      </c>
      <c r="K261">
        <v>3.89</v>
      </c>
      <c r="L261">
        <v>0.06</v>
      </c>
      <c r="M261" t="s">
        <v>36</v>
      </c>
      <c r="N261" t="s">
        <v>40</v>
      </c>
      <c r="O261">
        <v>2</v>
      </c>
      <c r="P261">
        <v>3.3</v>
      </c>
      <c r="Q261">
        <v>54.848999999999997</v>
      </c>
    </row>
    <row r="262" spans="1:17" x14ac:dyDescent="0.25">
      <c r="A262">
        <v>1261</v>
      </c>
      <c r="B262" s="3">
        <v>45187</v>
      </c>
      <c r="C262" s="3" t="str">
        <f>TEXT(Fruits_Vendor[[#This Row],[Order_Date]],"mmmm")</f>
        <v>September</v>
      </c>
      <c r="D262" s="3" t="str">
        <f>TEXT(Fruits_Vendor[[#This Row],[Order_Date]],"yyyy")</f>
        <v>2023</v>
      </c>
      <c r="E262">
        <v>2826</v>
      </c>
      <c r="F262" t="s">
        <v>17</v>
      </c>
      <c r="G262" t="s">
        <v>23</v>
      </c>
      <c r="H262" t="s">
        <v>29</v>
      </c>
      <c r="I262" t="s">
        <v>31</v>
      </c>
      <c r="J262">
        <v>33</v>
      </c>
      <c r="K262">
        <v>3.29</v>
      </c>
      <c r="L262">
        <v>0.16</v>
      </c>
      <c r="M262" t="s">
        <v>34</v>
      </c>
      <c r="N262" t="s">
        <v>38</v>
      </c>
      <c r="O262">
        <v>5</v>
      </c>
      <c r="P262">
        <v>3.9</v>
      </c>
      <c r="Q262">
        <v>91.198800000000006</v>
      </c>
    </row>
    <row r="263" spans="1:17" x14ac:dyDescent="0.25">
      <c r="A263">
        <v>1262</v>
      </c>
      <c r="B263" s="3">
        <v>45188</v>
      </c>
      <c r="C263" s="3" t="str">
        <f>TEXT(Fruits_Vendor[[#This Row],[Order_Date]],"mmmm")</f>
        <v>September</v>
      </c>
      <c r="D263" s="3" t="str">
        <f>TEXT(Fruits_Vendor[[#This Row],[Order_Date]],"yyyy")</f>
        <v>2023</v>
      </c>
      <c r="E263">
        <v>2373</v>
      </c>
      <c r="F263" t="s">
        <v>18</v>
      </c>
      <c r="G263" t="s">
        <v>24</v>
      </c>
      <c r="H263" t="s">
        <v>29</v>
      </c>
      <c r="I263" t="s">
        <v>31</v>
      </c>
      <c r="J263">
        <v>35</v>
      </c>
      <c r="K263">
        <v>1.84</v>
      </c>
      <c r="L263">
        <v>0.19</v>
      </c>
      <c r="M263" t="s">
        <v>37</v>
      </c>
      <c r="N263" t="s">
        <v>38</v>
      </c>
      <c r="O263">
        <v>2</v>
      </c>
      <c r="P263">
        <v>3.9</v>
      </c>
      <c r="Q263">
        <v>52.164000000000009</v>
      </c>
    </row>
    <row r="264" spans="1:17" x14ac:dyDescent="0.25">
      <c r="A264">
        <v>1263</v>
      </c>
      <c r="B264" s="3">
        <v>45189</v>
      </c>
      <c r="C264" s="3" t="str">
        <f>TEXT(Fruits_Vendor[[#This Row],[Order_Date]],"mmmm")</f>
        <v>September</v>
      </c>
      <c r="D264" s="3" t="str">
        <f>TEXT(Fruits_Vendor[[#This Row],[Order_Date]],"yyyy")</f>
        <v>2023</v>
      </c>
      <c r="E264">
        <v>2671</v>
      </c>
      <c r="F264" t="s">
        <v>15</v>
      </c>
      <c r="G264" t="s">
        <v>22</v>
      </c>
      <c r="H264" t="s">
        <v>25</v>
      </c>
      <c r="I264" t="s">
        <v>32</v>
      </c>
      <c r="J264">
        <v>26</v>
      </c>
      <c r="K264">
        <v>2.44</v>
      </c>
      <c r="L264">
        <v>0.17</v>
      </c>
      <c r="M264" t="s">
        <v>36</v>
      </c>
      <c r="N264" t="s">
        <v>39</v>
      </c>
      <c r="O264">
        <v>4</v>
      </c>
      <c r="P264">
        <v>2.6</v>
      </c>
      <c r="Q264">
        <v>52.655199999999986</v>
      </c>
    </row>
    <row r="265" spans="1:17" x14ac:dyDescent="0.25">
      <c r="A265">
        <v>1264</v>
      </c>
      <c r="B265" s="3">
        <v>45190</v>
      </c>
      <c r="C265" s="3" t="str">
        <f>TEXT(Fruits_Vendor[[#This Row],[Order_Date]],"mmmm")</f>
        <v>September</v>
      </c>
      <c r="D265" s="3" t="str">
        <f>TEXT(Fruits_Vendor[[#This Row],[Order_Date]],"yyyy")</f>
        <v>2023</v>
      </c>
      <c r="E265">
        <v>2607</v>
      </c>
      <c r="F265" t="s">
        <v>18</v>
      </c>
      <c r="G265" t="s">
        <v>21</v>
      </c>
      <c r="H265" t="s">
        <v>28</v>
      </c>
      <c r="I265" t="s">
        <v>33</v>
      </c>
      <c r="J265">
        <v>8</v>
      </c>
      <c r="K265">
        <v>1.27</v>
      </c>
      <c r="L265">
        <v>0.02</v>
      </c>
      <c r="M265" t="s">
        <v>35</v>
      </c>
      <c r="N265" t="s">
        <v>38</v>
      </c>
      <c r="O265">
        <v>3</v>
      </c>
      <c r="P265">
        <v>4.9000000000000004</v>
      </c>
      <c r="Q265">
        <v>9.9567999999999994</v>
      </c>
    </row>
    <row r="266" spans="1:17" x14ac:dyDescent="0.25">
      <c r="A266">
        <v>1265</v>
      </c>
      <c r="B266" s="3">
        <v>45191</v>
      </c>
      <c r="C266" s="3" t="str">
        <f>TEXT(Fruits_Vendor[[#This Row],[Order_Date]],"mmmm")</f>
        <v>September</v>
      </c>
      <c r="D266" s="3" t="str">
        <f>TEXT(Fruits_Vendor[[#This Row],[Order_Date]],"yyyy")</f>
        <v>2023</v>
      </c>
      <c r="E266">
        <v>2471</v>
      </c>
      <c r="F266" t="s">
        <v>18</v>
      </c>
      <c r="G266" t="s">
        <v>20</v>
      </c>
      <c r="H266" t="s">
        <v>26</v>
      </c>
      <c r="I266" t="s">
        <v>32</v>
      </c>
      <c r="J266">
        <v>36</v>
      </c>
      <c r="K266">
        <v>0.84</v>
      </c>
      <c r="L266">
        <v>0.15</v>
      </c>
      <c r="M266" t="s">
        <v>35</v>
      </c>
      <c r="N266" t="s">
        <v>39</v>
      </c>
      <c r="O266">
        <v>2</v>
      </c>
      <c r="P266">
        <v>4.2</v>
      </c>
      <c r="Q266">
        <v>25.704000000000001</v>
      </c>
    </row>
    <row r="267" spans="1:17" x14ac:dyDescent="0.25">
      <c r="A267">
        <v>1266</v>
      </c>
      <c r="B267" s="3">
        <v>45192</v>
      </c>
      <c r="C267" s="3" t="str">
        <f>TEXT(Fruits_Vendor[[#This Row],[Order_Date]],"mmmm")</f>
        <v>September</v>
      </c>
      <c r="D267" s="3" t="str">
        <f>TEXT(Fruits_Vendor[[#This Row],[Order_Date]],"yyyy")</f>
        <v>2023</v>
      </c>
      <c r="E267">
        <v>2232</v>
      </c>
      <c r="F267" t="s">
        <v>17</v>
      </c>
      <c r="G267" t="s">
        <v>20</v>
      </c>
      <c r="H267" t="s">
        <v>30</v>
      </c>
      <c r="I267" t="s">
        <v>31</v>
      </c>
      <c r="J267">
        <v>48</v>
      </c>
      <c r="K267">
        <v>4.0199999999999996</v>
      </c>
      <c r="L267">
        <v>0.06</v>
      </c>
      <c r="M267" t="s">
        <v>37</v>
      </c>
      <c r="N267" t="s">
        <v>40</v>
      </c>
      <c r="O267">
        <v>1</v>
      </c>
      <c r="P267">
        <v>3.7</v>
      </c>
      <c r="Q267">
        <v>181.38239999999999</v>
      </c>
    </row>
    <row r="268" spans="1:17" x14ac:dyDescent="0.25">
      <c r="A268">
        <v>1267</v>
      </c>
      <c r="B268" s="3">
        <v>45193</v>
      </c>
      <c r="C268" s="3" t="str">
        <f>TEXT(Fruits_Vendor[[#This Row],[Order_Date]],"mmmm")</f>
        <v>September</v>
      </c>
      <c r="D268" s="3" t="str">
        <f>TEXT(Fruits_Vendor[[#This Row],[Order_Date]],"yyyy")</f>
        <v>2023</v>
      </c>
      <c r="E268">
        <v>2691</v>
      </c>
      <c r="F268" t="s">
        <v>17</v>
      </c>
      <c r="G268" t="s">
        <v>19</v>
      </c>
      <c r="H268" t="s">
        <v>27</v>
      </c>
      <c r="I268" t="s">
        <v>31</v>
      </c>
      <c r="J268">
        <v>30</v>
      </c>
      <c r="K268">
        <v>1.69</v>
      </c>
      <c r="L268">
        <v>0.2</v>
      </c>
      <c r="M268" t="s">
        <v>35</v>
      </c>
      <c r="N268" t="s">
        <v>39</v>
      </c>
      <c r="O268">
        <v>1</v>
      </c>
      <c r="P268">
        <v>4.8</v>
      </c>
      <c r="Q268">
        <v>40.56</v>
      </c>
    </row>
    <row r="269" spans="1:17" x14ac:dyDescent="0.25">
      <c r="A269">
        <v>1268</v>
      </c>
      <c r="B269" s="3">
        <v>45194</v>
      </c>
      <c r="C269" s="3" t="str">
        <f>TEXT(Fruits_Vendor[[#This Row],[Order_Date]],"mmmm")</f>
        <v>September</v>
      </c>
      <c r="D269" s="3" t="str">
        <f>TEXT(Fruits_Vendor[[#This Row],[Order_Date]],"yyyy")</f>
        <v>2023</v>
      </c>
      <c r="E269">
        <v>2112</v>
      </c>
      <c r="F269" t="s">
        <v>18</v>
      </c>
      <c r="G269" t="s">
        <v>24</v>
      </c>
      <c r="H269" t="s">
        <v>30</v>
      </c>
      <c r="I269" t="s">
        <v>32</v>
      </c>
      <c r="J269">
        <v>23</v>
      </c>
      <c r="K269">
        <v>1.3</v>
      </c>
      <c r="L269">
        <v>0.1</v>
      </c>
      <c r="M269" t="s">
        <v>34</v>
      </c>
      <c r="N269" t="s">
        <v>39</v>
      </c>
      <c r="O269">
        <v>5</v>
      </c>
      <c r="P269">
        <v>3.6</v>
      </c>
      <c r="Q269">
        <v>26.91</v>
      </c>
    </row>
    <row r="270" spans="1:17" x14ac:dyDescent="0.25">
      <c r="A270">
        <v>1269</v>
      </c>
      <c r="B270" s="3">
        <v>45195</v>
      </c>
      <c r="C270" s="3" t="str">
        <f>TEXT(Fruits_Vendor[[#This Row],[Order_Date]],"mmmm")</f>
        <v>September</v>
      </c>
      <c r="D270" s="3" t="str">
        <f>TEXT(Fruits_Vendor[[#This Row],[Order_Date]],"yyyy")</f>
        <v>2023</v>
      </c>
      <c r="E270">
        <v>2829</v>
      </c>
      <c r="F270" t="s">
        <v>15</v>
      </c>
      <c r="G270" t="s">
        <v>21</v>
      </c>
      <c r="H270" t="s">
        <v>25</v>
      </c>
      <c r="I270" t="s">
        <v>33</v>
      </c>
      <c r="J270">
        <v>42</v>
      </c>
      <c r="K270">
        <v>3.61</v>
      </c>
      <c r="L270">
        <v>0.02</v>
      </c>
      <c r="M270" t="s">
        <v>36</v>
      </c>
      <c r="N270" t="s">
        <v>38</v>
      </c>
      <c r="O270">
        <v>4</v>
      </c>
      <c r="P270">
        <v>5</v>
      </c>
      <c r="Q270">
        <v>148.58760000000001</v>
      </c>
    </row>
    <row r="271" spans="1:17" x14ac:dyDescent="0.25">
      <c r="A271">
        <v>1270</v>
      </c>
      <c r="B271" s="3">
        <v>45196</v>
      </c>
      <c r="C271" s="3" t="str">
        <f>TEXT(Fruits_Vendor[[#This Row],[Order_Date]],"mmmm")</f>
        <v>September</v>
      </c>
      <c r="D271" s="3" t="str">
        <f>TEXT(Fruits_Vendor[[#This Row],[Order_Date]],"yyyy")</f>
        <v>2023</v>
      </c>
      <c r="E271">
        <v>2496</v>
      </c>
      <c r="F271" t="s">
        <v>16</v>
      </c>
      <c r="G271" t="s">
        <v>24</v>
      </c>
      <c r="H271" t="s">
        <v>29</v>
      </c>
      <c r="I271" t="s">
        <v>33</v>
      </c>
      <c r="J271">
        <v>44</v>
      </c>
      <c r="K271">
        <v>3.28</v>
      </c>
      <c r="L271">
        <v>0.15</v>
      </c>
      <c r="M271" t="s">
        <v>35</v>
      </c>
      <c r="N271" t="s">
        <v>38</v>
      </c>
      <c r="O271">
        <v>5</v>
      </c>
      <c r="P271">
        <v>3.8</v>
      </c>
      <c r="Q271">
        <v>122.672</v>
      </c>
    </row>
    <row r="272" spans="1:17" x14ac:dyDescent="0.25">
      <c r="A272">
        <v>1271</v>
      </c>
      <c r="B272" s="3">
        <v>45197</v>
      </c>
      <c r="C272" s="3" t="str">
        <f>TEXT(Fruits_Vendor[[#This Row],[Order_Date]],"mmmm")</f>
        <v>September</v>
      </c>
      <c r="D272" s="3" t="str">
        <f>TEXT(Fruits_Vendor[[#This Row],[Order_Date]],"yyyy")</f>
        <v>2023</v>
      </c>
      <c r="E272">
        <v>2441</v>
      </c>
      <c r="F272" t="s">
        <v>18</v>
      </c>
      <c r="G272" t="s">
        <v>21</v>
      </c>
      <c r="H272" t="s">
        <v>29</v>
      </c>
      <c r="I272" t="s">
        <v>31</v>
      </c>
      <c r="J272">
        <v>14</v>
      </c>
      <c r="K272">
        <v>3.35</v>
      </c>
      <c r="L272">
        <v>0.06</v>
      </c>
      <c r="M272" t="s">
        <v>35</v>
      </c>
      <c r="N272" t="s">
        <v>39</v>
      </c>
      <c r="O272">
        <v>5</v>
      </c>
      <c r="P272">
        <v>2.8</v>
      </c>
      <c r="Q272">
        <v>44.085999999999999</v>
      </c>
    </row>
    <row r="273" spans="1:17" x14ac:dyDescent="0.25">
      <c r="A273">
        <v>1272</v>
      </c>
      <c r="B273" s="3">
        <v>45198</v>
      </c>
      <c r="C273" s="3" t="str">
        <f>TEXT(Fruits_Vendor[[#This Row],[Order_Date]],"mmmm")</f>
        <v>September</v>
      </c>
      <c r="D273" s="3" t="str">
        <f>TEXT(Fruits_Vendor[[#This Row],[Order_Date]],"yyyy")</f>
        <v>2023</v>
      </c>
      <c r="E273">
        <v>2563</v>
      </c>
      <c r="F273" t="s">
        <v>15</v>
      </c>
      <c r="G273" t="s">
        <v>19</v>
      </c>
      <c r="H273" t="s">
        <v>27</v>
      </c>
      <c r="I273" t="s">
        <v>31</v>
      </c>
      <c r="J273">
        <v>14</v>
      </c>
      <c r="K273">
        <v>1.53</v>
      </c>
      <c r="L273">
        <v>0.2</v>
      </c>
      <c r="M273" t="s">
        <v>37</v>
      </c>
      <c r="N273" t="s">
        <v>38</v>
      </c>
      <c r="O273">
        <v>6</v>
      </c>
      <c r="P273">
        <v>4.4000000000000004</v>
      </c>
      <c r="Q273">
        <v>17.135999999999999</v>
      </c>
    </row>
    <row r="274" spans="1:17" x14ac:dyDescent="0.25">
      <c r="A274">
        <v>1273</v>
      </c>
      <c r="B274" s="3">
        <v>45199</v>
      </c>
      <c r="C274" s="3" t="str">
        <f>TEXT(Fruits_Vendor[[#This Row],[Order_Date]],"mmmm")</f>
        <v>September</v>
      </c>
      <c r="D274" s="3" t="str">
        <f>TEXT(Fruits_Vendor[[#This Row],[Order_Date]],"yyyy")</f>
        <v>2023</v>
      </c>
      <c r="E274">
        <v>2267</v>
      </c>
      <c r="F274" t="s">
        <v>17</v>
      </c>
      <c r="G274" t="s">
        <v>19</v>
      </c>
      <c r="H274" t="s">
        <v>29</v>
      </c>
      <c r="I274" t="s">
        <v>33</v>
      </c>
      <c r="J274">
        <v>2</v>
      </c>
      <c r="K274">
        <v>1.55</v>
      </c>
      <c r="L274">
        <v>0.2</v>
      </c>
      <c r="M274" t="s">
        <v>34</v>
      </c>
      <c r="N274" t="s">
        <v>38</v>
      </c>
      <c r="O274">
        <v>5</v>
      </c>
      <c r="P274">
        <v>4.2</v>
      </c>
      <c r="Q274">
        <v>2.48</v>
      </c>
    </row>
    <row r="275" spans="1:17" x14ac:dyDescent="0.25">
      <c r="A275">
        <v>1274</v>
      </c>
      <c r="B275" s="3">
        <v>45200</v>
      </c>
      <c r="C275" s="3" t="str">
        <f>TEXT(Fruits_Vendor[[#This Row],[Order_Date]],"mmmm")</f>
        <v>October</v>
      </c>
      <c r="D275" s="3" t="str">
        <f>TEXT(Fruits_Vendor[[#This Row],[Order_Date]],"yyyy")</f>
        <v>2023</v>
      </c>
      <c r="E275">
        <v>2509</v>
      </c>
      <c r="F275" t="s">
        <v>17</v>
      </c>
      <c r="G275" t="s">
        <v>20</v>
      </c>
      <c r="H275" t="s">
        <v>29</v>
      </c>
      <c r="I275" t="s">
        <v>32</v>
      </c>
      <c r="J275">
        <v>37</v>
      </c>
      <c r="K275">
        <v>1.49</v>
      </c>
      <c r="L275">
        <v>0.13</v>
      </c>
      <c r="M275" t="s">
        <v>35</v>
      </c>
      <c r="N275" t="s">
        <v>38</v>
      </c>
      <c r="O275">
        <v>6</v>
      </c>
      <c r="P275">
        <v>4.4000000000000004</v>
      </c>
      <c r="Q275">
        <v>47.963099999999997</v>
      </c>
    </row>
    <row r="276" spans="1:17" x14ac:dyDescent="0.25">
      <c r="A276">
        <v>1275</v>
      </c>
      <c r="B276" s="3">
        <v>45201</v>
      </c>
      <c r="C276" s="3" t="str">
        <f>TEXT(Fruits_Vendor[[#This Row],[Order_Date]],"mmmm")</f>
        <v>October</v>
      </c>
      <c r="D276" s="3" t="str">
        <f>TEXT(Fruits_Vendor[[#This Row],[Order_Date]],"yyyy")</f>
        <v>2023</v>
      </c>
      <c r="E276">
        <v>2806</v>
      </c>
      <c r="F276" t="s">
        <v>15</v>
      </c>
      <c r="G276" t="s">
        <v>24</v>
      </c>
      <c r="H276" t="s">
        <v>27</v>
      </c>
      <c r="I276" t="s">
        <v>31</v>
      </c>
      <c r="J276">
        <v>5</v>
      </c>
      <c r="K276">
        <v>1.28</v>
      </c>
      <c r="L276">
        <v>0.03</v>
      </c>
      <c r="M276" t="s">
        <v>37</v>
      </c>
      <c r="N276" t="s">
        <v>39</v>
      </c>
      <c r="O276">
        <v>1</v>
      </c>
      <c r="P276">
        <v>4.9000000000000004</v>
      </c>
      <c r="Q276">
        <v>6.2080000000000002</v>
      </c>
    </row>
    <row r="277" spans="1:17" x14ac:dyDescent="0.25">
      <c r="A277">
        <v>1276</v>
      </c>
      <c r="B277" s="3">
        <v>45202</v>
      </c>
      <c r="C277" s="3" t="str">
        <f>TEXT(Fruits_Vendor[[#This Row],[Order_Date]],"mmmm")</f>
        <v>October</v>
      </c>
      <c r="D277" s="3" t="str">
        <f>TEXT(Fruits_Vendor[[#This Row],[Order_Date]],"yyyy")</f>
        <v>2023</v>
      </c>
      <c r="E277">
        <v>2385</v>
      </c>
      <c r="F277" t="s">
        <v>16</v>
      </c>
      <c r="G277" t="s">
        <v>23</v>
      </c>
      <c r="H277" t="s">
        <v>26</v>
      </c>
      <c r="I277" t="s">
        <v>31</v>
      </c>
      <c r="J277">
        <v>38</v>
      </c>
      <c r="K277">
        <v>3.45</v>
      </c>
      <c r="L277">
        <v>0.14000000000000001</v>
      </c>
      <c r="M277" t="s">
        <v>35</v>
      </c>
      <c r="N277" t="s">
        <v>38</v>
      </c>
      <c r="O277">
        <v>1</v>
      </c>
      <c r="P277">
        <v>4.4000000000000004</v>
      </c>
      <c r="Q277">
        <v>112.746</v>
      </c>
    </row>
    <row r="278" spans="1:17" x14ac:dyDescent="0.25">
      <c r="A278">
        <v>1277</v>
      </c>
      <c r="B278" s="3">
        <v>45203</v>
      </c>
      <c r="C278" s="3" t="str">
        <f>TEXT(Fruits_Vendor[[#This Row],[Order_Date]],"mmmm")</f>
        <v>October</v>
      </c>
      <c r="D278" s="3" t="str">
        <f>TEXT(Fruits_Vendor[[#This Row],[Order_Date]],"yyyy")</f>
        <v>2023</v>
      </c>
      <c r="E278">
        <v>2386</v>
      </c>
      <c r="F278" t="s">
        <v>17</v>
      </c>
      <c r="G278" t="s">
        <v>20</v>
      </c>
      <c r="H278" t="s">
        <v>26</v>
      </c>
      <c r="I278" t="s">
        <v>33</v>
      </c>
      <c r="J278">
        <v>45</v>
      </c>
      <c r="K278">
        <v>4.32</v>
      </c>
      <c r="L278">
        <v>0.02</v>
      </c>
      <c r="M278" t="s">
        <v>37</v>
      </c>
      <c r="N278" t="s">
        <v>39</v>
      </c>
      <c r="O278">
        <v>5</v>
      </c>
      <c r="P278">
        <v>4</v>
      </c>
      <c r="Q278">
        <v>190.512</v>
      </c>
    </row>
    <row r="279" spans="1:17" x14ac:dyDescent="0.25">
      <c r="A279">
        <v>1278</v>
      </c>
      <c r="B279" s="3">
        <v>45204</v>
      </c>
      <c r="C279" s="3" t="str">
        <f>TEXT(Fruits_Vendor[[#This Row],[Order_Date]],"mmmm")</f>
        <v>October</v>
      </c>
      <c r="D279" s="3" t="str">
        <f>TEXT(Fruits_Vendor[[#This Row],[Order_Date]],"yyyy")</f>
        <v>2023</v>
      </c>
      <c r="E279">
        <v>2112</v>
      </c>
      <c r="F279" t="s">
        <v>17</v>
      </c>
      <c r="G279" t="s">
        <v>24</v>
      </c>
      <c r="H279" t="s">
        <v>27</v>
      </c>
      <c r="I279" t="s">
        <v>32</v>
      </c>
      <c r="J279">
        <v>41</v>
      </c>
      <c r="K279">
        <v>3.76</v>
      </c>
      <c r="L279">
        <v>0.01</v>
      </c>
      <c r="M279" t="s">
        <v>37</v>
      </c>
      <c r="N279" t="s">
        <v>38</v>
      </c>
      <c r="O279">
        <v>1</v>
      </c>
      <c r="P279">
        <v>4.5999999999999996</v>
      </c>
      <c r="Q279">
        <v>152.61840000000001</v>
      </c>
    </row>
    <row r="280" spans="1:17" x14ac:dyDescent="0.25">
      <c r="A280">
        <v>1279</v>
      </c>
      <c r="B280" s="3">
        <v>45205</v>
      </c>
      <c r="C280" s="3" t="str">
        <f>TEXT(Fruits_Vendor[[#This Row],[Order_Date]],"mmmm")</f>
        <v>October</v>
      </c>
      <c r="D280" s="3" t="str">
        <f>TEXT(Fruits_Vendor[[#This Row],[Order_Date]],"yyyy")</f>
        <v>2023</v>
      </c>
      <c r="E280">
        <v>2612</v>
      </c>
      <c r="F280" t="s">
        <v>17</v>
      </c>
      <c r="G280" t="s">
        <v>20</v>
      </c>
      <c r="H280" t="s">
        <v>25</v>
      </c>
      <c r="I280" t="s">
        <v>33</v>
      </c>
      <c r="J280">
        <v>47</v>
      </c>
      <c r="K280">
        <v>4.0599999999999996</v>
      </c>
      <c r="L280">
        <v>0.16</v>
      </c>
      <c r="M280" t="s">
        <v>34</v>
      </c>
      <c r="N280" t="s">
        <v>40</v>
      </c>
      <c r="O280">
        <v>4</v>
      </c>
      <c r="P280">
        <v>4.2</v>
      </c>
      <c r="Q280">
        <v>160.28880000000001</v>
      </c>
    </row>
    <row r="281" spans="1:17" x14ac:dyDescent="0.25">
      <c r="A281">
        <v>1280</v>
      </c>
      <c r="B281" s="3">
        <v>45206</v>
      </c>
      <c r="C281" s="3" t="str">
        <f>TEXT(Fruits_Vendor[[#This Row],[Order_Date]],"mmmm")</f>
        <v>October</v>
      </c>
      <c r="D281" s="3" t="str">
        <f>TEXT(Fruits_Vendor[[#This Row],[Order_Date]],"yyyy")</f>
        <v>2023</v>
      </c>
      <c r="E281">
        <v>2624</v>
      </c>
      <c r="F281" t="s">
        <v>15</v>
      </c>
      <c r="G281" t="s">
        <v>23</v>
      </c>
      <c r="H281" t="s">
        <v>29</v>
      </c>
      <c r="I281" t="s">
        <v>32</v>
      </c>
      <c r="J281">
        <v>14</v>
      </c>
      <c r="K281">
        <v>2.3199999999999998</v>
      </c>
      <c r="L281">
        <v>0.04</v>
      </c>
      <c r="M281" t="s">
        <v>35</v>
      </c>
      <c r="N281" t="s">
        <v>38</v>
      </c>
      <c r="O281">
        <v>6</v>
      </c>
      <c r="P281">
        <v>3.5</v>
      </c>
      <c r="Q281">
        <v>31.180799999999991</v>
      </c>
    </row>
    <row r="282" spans="1:17" x14ac:dyDescent="0.25">
      <c r="A282">
        <v>1281</v>
      </c>
      <c r="B282" s="3">
        <v>45207</v>
      </c>
      <c r="C282" s="3" t="str">
        <f>TEXT(Fruits_Vendor[[#This Row],[Order_Date]],"mmmm")</f>
        <v>October</v>
      </c>
      <c r="D282" s="3" t="str">
        <f>TEXT(Fruits_Vendor[[#This Row],[Order_Date]],"yyyy")</f>
        <v>2023</v>
      </c>
      <c r="E282">
        <v>2951</v>
      </c>
      <c r="F282" t="s">
        <v>18</v>
      </c>
      <c r="G282" t="s">
        <v>22</v>
      </c>
      <c r="H282" t="s">
        <v>29</v>
      </c>
      <c r="I282" t="s">
        <v>32</v>
      </c>
      <c r="J282">
        <v>39</v>
      </c>
      <c r="K282">
        <v>3.44</v>
      </c>
      <c r="L282">
        <v>0.08</v>
      </c>
      <c r="M282" t="s">
        <v>34</v>
      </c>
      <c r="N282" t="s">
        <v>38</v>
      </c>
      <c r="O282">
        <v>6</v>
      </c>
      <c r="P282">
        <v>4.7</v>
      </c>
      <c r="Q282">
        <v>123.4272</v>
      </c>
    </row>
    <row r="283" spans="1:17" x14ac:dyDescent="0.25">
      <c r="A283">
        <v>1282</v>
      </c>
      <c r="B283" s="3">
        <v>45208</v>
      </c>
      <c r="C283" s="3" t="str">
        <f>TEXT(Fruits_Vendor[[#This Row],[Order_Date]],"mmmm")</f>
        <v>October</v>
      </c>
      <c r="D283" s="3" t="str">
        <f>TEXT(Fruits_Vendor[[#This Row],[Order_Date]],"yyyy")</f>
        <v>2023</v>
      </c>
      <c r="E283">
        <v>2080</v>
      </c>
      <c r="F283" t="s">
        <v>17</v>
      </c>
      <c r="G283" t="s">
        <v>22</v>
      </c>
      <c r="H283" t="s">
        <v>25</v>
      </c>
      <c r="I283" t="s">
        <v>32</v>
      </c>
      <c r="J283">
        <v>25</v>
      </c>
      <c r="K283">
        <v>2.09</v>
      </c>
      <c r="L283">
        <v>0.19</v>
      </c>
      <c r="M283" t="s">
        <v>37</v>
      </c>
      <c r="N283" t="s">
        <v>39</v>
      </c>
      <c r="O283">
        <v>5</v>
      </c>
      <c r="P283">
        <v>3.1</v>
      </c>
      <c r="Q283">
        <v>42.322500000000012</v>
      </c>
    </row>
    <row r="284" spans="1:17" x14ac:dyDescent="0.25">
      <c r="A284">
        <v>1283</v>
      </c>
      <c r="B284" s="3">
        <v>45209</v>
      </c>
      <c r="C284" s="3" t="str">
        <f>TEXT(Fruits_Vendor[[#This Row],[Order_Date]],"mmmm")</f>
        <v>October</v>
      </c>
      <c r="D284" s="3" t="str">
        <f>TEXT(Fruits_Vendor[[#This Row],[Order_Date]],"yyyy")</f>
        <v>2023</v>
      </c>
      <c r="E284">
        <v>2698</v>
      </c>
      <c r="F284" t="s">
        <v>18</v>
      </c>
      <c r="G284" t="s">
        <v>22</v>
      </c>
      <c r="H284" t="s">
        <v>26</v>
      </c>
      <c r="I284" t="s">
        <v>31</v>
      </c>
      <c r="J284">
        <v>20</v>
      </c>
      <c r="K284">
        <v>2.86</v>
      </c>
      <c r="L284">
        <v>7.0000000000000007E-2</v>
      </c>
      <c r="M284" t="s">
        <v>36</v>
      </c>
      <c r="N284" t="s">
        <v>39</v>
      </c>
      <c r="O284">
        <v>1</v>
      </c>
      <c r="P284">
        <v>4.3</v>
      </c>
      <c r="Q284">
        <v>53.195999999999991</v>
      </c>
    </row>
    <row r="285" spans="1:17" x14ac:dyDescent="0.25">
      <c r="A285">
        <v>1284</v>
      </c>
      <c r="B285" s="3">
        <v>45210</v>
      </c>
      <c r="C285" s="3" t="str">
        <f>TEXT(Fruits_Vendor[[#This Row],[Order_Date]],"mmmm")</f>
        <v>October</v>
      </c>
      <c r="D285" s="3" t="str">
        <f>TEXT(Fruits_Vendor[[#This Row],[Order_Date]],"yyyy")</f>
        <v>2023</v>
      </c>
      <c r="E285">
        <v>2112</v>
      </c>
      <c r="F285" t="s">
        <v>16</v>
      </c>
      <c r="G285" t="s">
        <v>22</v>
      </c>
      <c r="H285" t="s">
        <v>28</v>
      </c>
      <c r="I285" t="s">
        <v>33</v>
      </c>
      <c r="J285">
        <v>2</v>
      </c>
      <c r="K285">
        <v>2.67</v>
      </c>
      <c r="L285">
        <v>0.06</v>
      </c>
      <c r="M285" t="s">
        <v>35</v>
      </c>
      <c r="N285" t="s">
        <v>38</v>
      </c>
      <c r="O285">
        <v>2</v>
      </c>
      <c r="P285">
        <v>4.7</v>
      </c>
      <c r="Q285">
        <v>5.0195999999999996</v>
      </c>
    </row>
    <row r="286" spans="1:17" x14ac:dyDescent="0.25">
      <c r="A286">
        <v>1285</v>
      </c>
      <c r="B286" s="3">
        <v>45211</v>
      </c>
      <c r="C286" s="3" t="str">
        <f>TEXT(Fruits_Vendor[[#This Row],[Order_Date]],"mmmm")</f>
        <v>October</v>
      </c>
      <c r="D286" s="3" t="str">
        <f>TEXT(Fruits_Vendor[[#This Row],[Order_Date]],"yyyy")</f>
        <v>2023</v>
      </c>
      <c r="E286">
        <v>2001</v>
      </c>
      <c r="F286" t="s">
        <v>17</v>
      </c>
      <c r="G286" t="s">
        <v>21</v>
      </c>
      <c r="H286" t="s">
        <v>28</v>
      </c>
      <c r="I286" t="s">
        <v>33</v>
      </c>
      <c r="J286">
        <v>39</v>
      </c>
      <c r="K286">
        <v>1.3</v>
      </c>
      <c r="L286">
        <v>0.18</v>
      </c>
      <c r="M286" t="s">
        <v>36</v>
      </c>
      <c r="N286" t="s">
        <v>40</v>
      </c>
      <c r="O286">
        <v>6</v>
      </c>
      <c r="P286">
        <v>4.3</v>
      </c>
      <c r="Q286">
        <v>41.574000000000012</v>
      </c>
    </row>
    <row r="287" spans="1:17" x14ac:dyDescent="0.25">
      <c r="A287">
        <v>1286</v>
      </c>
      <c r="B287" s="3">
        <v>45212</v>
      </c>
      <c r="C287" s="3" t="str">
        <f>TEXT(Fruits_Vendor[[#This Row],[Order_Date]],"mmmm")</f>
        <v>October</v>
      </c>
      <c r="D287" s="3" t="str">
        <f>TEXT(Fruits_Vendor[[#This Row],[Order_Date]],"yyyy")</f>
        <v>2023</v>
      </c>
      <c r="E287">
        <v>2641</v>
      </c>
      <c r="F287" t="s">
        <v>17</v>
      </c>
      <c r="G287" t="s">
        <v>22</v>
      </c>
      <c r="H287" t="s">
        <v>28</v>
      </c>
      <c r="I287" t="s">
        <v>32</v>
      </c>
      <c r="J287">
        <v>6</v>
      </c>
      <c r="K287">
        <v>2.2400000000000002</v>
      </c>
      <c r="L287">
        <v>0.02</v>
      </c>
      <c r="M287" t="s">
        <v>35</v>
      </c>
      <c r="N287" t="s">
        <v>38</v>
      </c>
      <c r="O287">
        <v>5</v>
      </c>
      <c r="P287">
        <v>4.2</v>
      </c>
      <c r="Q287">
        <v>13.171200000000001</v>
      </c>
    </row>
    <row r="288" spans="1:17" x14ac:dyDescent="0.25">
      <c r="A288">
        <v>1287</v>
      </c>
      <c r="B288" s="3">
        <v>45213</v>
      </c>
      <c r="C288" s="3" t="str">
        <f>TEXT(Fruits_Vendor[[#This Row],[Order_Date]],"mmmm")</f>
        <v>October</v>
      </c>
      <c r="D288" s="3" t="str">
        <f>TEXT(Fruits_Vendor[[#This Row],[Order_Date]],"yyyy")</f>
        <v>2023</v>
      </c>
      <c r="E288">
        <v>2219</v>
      </c>
      <c r="F288" t="s">
        <v>16</v>
      </c>
      <c r="G288" t="s">
        <v>23</v>
      </c>
      <c r="H288" t="s">
        <v>26</v>
      </c>
      <c r="I288" t="s">
        <v>31</v>
      </c>
      <c r="J288">
        <v>17</v>
      </c>
      <c r="K288">
        <v>4.84</v>
      </c>
      <c r="L288">
        <v>0.15</v>
      </c>
      <c r="M288" t="s">
        <v>34</v>
      </c>
      <c r="N288" t="s">
        <v>38</v>
      </c>
      <c r="O288">
        <v>5</v>
      </c>
      <c r="P288">
        <v>4.4000000000000004</v>
      </c>
      <c r="Q288">
        <v>69.938000000000002</v>
      </c>
    </row>
    <row r="289" spans="1:17" x14ac:dyDescent="0.25">
      <c r="A289">
        <v>1288</v>
      </c>
      <c r="B289" s="3">
        <v>45214</v>
      </c>
      <c r="C289" s="3" t="str">
        <f>TEXT(Fruits_Vendor[[#This Row],[Order_Date]],"mmmm")</f>
        <v>October</v>
      </c>
      <c r="D289" s="3" t="str">
        <f>TEXT(Fruits_Vendor[[#This Row],[Order_Date]],"yyyy")</f>
        <v>2023</v>
      </c>
      <c r="E289">
        <v>2565</v>
      </c>
      <c r="F289" t="s">
        <v>17</v>
      </c>
      <c r="G289" t="s">
        <v>19</v>
      </c>
      <c r="H289" t="s">
        <v>26</v>
      </c>
      <c r="I289" t="s">
        <v>31</v>
      </c>
      <c r="J289">
        <v>25</v>
      </c>
      <c r="K289">
        <v>1.62</v>
      </c>
      <c r="L289">
        <v>0.2</v>
      </c>
      <c r="M289" t="s">
        <v>34</v>
      </c>
      <c r="N289" t="s">
        <v>40</v>
      </c>
      <c r="O289">
        <v>4</v>
      </c>
      <c r="P289">
        <v>3.7</v>
      </c>
      <c r="Q289">
        <v>32.4</v>
      </c>
    </row>
    <row r="290" spans="1:17" x14ac:dyDescent="0.25">
      <c r="A290">
        <v>1289</v>
      </c>
      <c r="B290" s="3">
        <v>45215</v>
      </c>
      <c r="C290" s="3" t="str">
        <f>TEXT(Fruits_Vendor[[#This Row],[Order_Date]],"mmmm")</f>
        <v>October</v>
      </c>
      <c r="D290" s="3" t="str">
        <f>TEXT(Fruits_Vendor[[#This Row],[Order_Date]],"yyyy")</f>
        <v>2023</v>
      </c>
      <c r="E290">
        <v>2854</v>
      </c>
      <c r="F290" t="s">
        <v>18</v>
      </c>
      <c r="G290" t="s">
        <v>19</v>
      </c>
      <c r="H290" t="s">
        <v>25</v>
      </c>
      <c r="I290" t="s">
        <v>33</v>
      </c>
      <c r="J290">
        <v>28</v>
      </c>
      <c r="K290">
        <v>1.1000000000000001</v>
      </c>
      <c r="L290">
        <v>0.18</v>
      </c>
      <c r="M290" t="s">
        <v>34</v>
      </c>
      <c r="N290" t="s">
        <v>39</v>
      </c>
      <c r="O290">
        <v>3</v>
      </c>
      <c r="P290">
        <v>4.7</v>
      </c>
      <c r="Q290">
        <v>25.256</v>
      </c>
    </row>
    <row r="291" spans="1:17" x14ac:dyDescent="0.25">
      <c r="A291">
        <v>1290</v>
      </c>
      <c r="B291" s="3">
        <v>45216</v>
      </c>
      <c r="C291" s="3" t="str">
        <f>TEXT(Fruits_Vendor[[#This Row],[Order_Date]],"mmmm")</f>
        <v>October</v>
      </c>
      <c r="D291" s="3" t="str">
        <f>TEXT(Fruits_Vendor[[#This Row],[Order_Date]],"yyyy")</f>
        <v>2023</v>
      </c>
      <c r="E291">
        <v>2996</v>
      </c>
      <c r="F291" t="s">
        <v>15</v>
      </c>
      <c r="G291" t="s">
        <v>21</v>
      </c>
      <c r="H291" t="s">
        <v>29</v>
      </c>
      <c r="I291" t="s">
        <v>31</v>
      </c>
      <c r="J291">
        <v>2</v>
      </c>
      <c r="K291">
        <v>2.38</v>
      </c>
      <c r="L291">
        <v>0.13</v>
      </c>
      <c r="M291" t="s">
        <v>34</v>
      </c>
      <c r="N291" t="s">
        <v>38</v>
      </c>
      <c r="O291">
        <v>3</v>
      </c>
      <c r="P291">
        <v>3</v>
      </c>
      <c r="Q291">
        <v>4.1412000000000004</v>
      </c>
    </row>
    <row r="292" spans="1:17" x14ac:dyDescent="0.25">
      <c r="A292">
        <v>1291</v>
      </c>
      <c r="B292" s="3">
        <v>45217</v>
      </c>
      <c r="C292" s="3" t="str">
        <f>TEXT(Fruits_Vendor[[#This Row],[Order_Date]],"mmmm")</f>
        <v>October</v>
      </c>
      <c r="D292" s="3" t="str">
        <f>TEXT(Fruits_Vendor[[#This Row],[Order_Date]],"yyyy")</f>
        <v>2023</v>
      </c>
      <c r="E292">
        <v>2735</v>
      </c>
      <c r="F292" t="s">
        <v>18</v>
      </c>
      <c r="G292" t="s">
        <v>22</v>
      </c>
      <c r="H292" t="s">
        <v>25</v>
      </c>
      <c r="I292" t="s">
        <v>31</v>
      </c>
      <c r="J292">
        <v>35</v>
      </c>
      <c r="K292">
        <v>4.0599999999999996</v>
      </c>
      <c r="L292">
        <v>0.06</v>
      </c>
      <c r="M292" t="s">
        <v>34</v>
      </c>
      <c r="N292" t="s">
        <v>39</v>
      </c>
      <c r="O292">
        <v>6</v>
      </c>
      <c r="P292">
        <v>2.8</v>
      </c>
      <c r="Q292">
        <v>133.57400000000001</v>
      </c>
    </row>
    <row r="293" spans="1:17" x14ac:dyDescent="0.25">
      <c r="A293">
        <v>1292</v>
      </c>
      <c r="B293" s="3">
        <v>45218</v>
      </c>
      <c r="C293" s="3" t="str">
        <f>TEXT(Fruits_Vendor[[#This Row],[Order_Date]],"mmmm")</f>
        <v>October</v>
      </c>
      <c r="D293" s="3" t="str">
        <f>TEXT(Fruits_Vendor[[#This Row],[Order_Date]],"yyyy")</f>
        <v>2023</v>
      </c>
      <c r="E293">
        <v>2224</v>
      </c>
      <c r="F293" t="s">
        <v>15</v>
      </c>
      <c r="G293" t="s">
        <v>22</v>
      </c>
      <c r="H293" t="s">
        <v>25</v>
      </c>
      <c r="I293" t="s">
        <v>32</v>
      </c>
      <c r="J293">
        <v>37</v>
      </c>
      <c r="K293">
        <v>3.12</v>
      </c>
      <c r="L293">
        <v>0.05</v>
      </c>
      <c r="M293" t="s">
        <v>36</v>
      </c>
      <c r="N293" t="s">
        <v>39</v>
      </c>
      <c r="O293">
        <v>4</v>
      </c>
      <c r="P293">
        <v>3.2</v>
      </c>
      <c r="Q293">
        <v>109.66800000000001</v>
      </c>
    </row>
    <row r="294" spans="1:17" x14ac:dyDescent="0.25">
      <c r="A294">
        <v>1293</v>
      </c>
      <c r="B294" s="3">
        <v>45219</v>
      </c>
      <c r="C294" s="3" t="str">
        <f>TEXT(Fruits_Vendor[[#This Row],[Order_Date]],"mmmm")</f>
        <v>October</v>
      </c>
      <c r="D294" s="3" t="str">
        <f>TEXT(Fruits_Vendor[[#This Row],[Order_Date]],"yyyy")</f>
        <v>2023</v>
      </c>
      <c r="E294">
        <v>2384</v>
      </c>
      <c r="F294" t="s">
        <v>15</v>
      </c>
      <c r="G294" t="s">
        <v>22</v>
      </c>
      <c r="H294" t="s">
        <v>26</v>
      </c>
      <c r="I294" t="s">
        <v>31</v>
      </c>
      <c r="J294">
        <v>5</v>
      </c>
      <c r="K294">
        <v>3.56</v>
      </c>
      <c r="L294">
        <v>0.16</v>
      </c>
      <c r="M294" t="s">
        <v>34</v>
      </c>
      <c r="N294" t="s">
        <v>40</v>
      </c>
      <c r="O294">
        <v>4</v>
      </c>
      <c r="P294">
        <v>3.8</v>
      </c>
      <c r="Q294">
        <v>14.952</v>
      </c>
    </row>
    <row r="295" spans="1:17" x14ac:dyDescent="0.25">
      <c r="A295">
        <v>1294</v>
      </c>
      <c r="B295" s="3">
        <v>45220</v>
      </c>
      <c r="C295" s="3" t="str">
        <f>TEXT(Fruits_Vendor[[#This Row],[Order_Date]],"mmmm")</f>
        <v>October</v>
      </c>
      <c r="D295" s="3" t="str">
        <f>TEXT(Fruits_Vendor[[#This Row],[Order_Date]],"yyyy")</f>
        <v>2023</v>
      </c>
      <c r="E295">
        <v>2402</v>
      </c>
      <c r="F295" t="s">
        <v>18</v>
      </c>
      <c r="G295" t="s">
        <v>20</v>
      </c>
      <c r="H295" t="s">
        <v>28</v>
      </c>
      <c r="I295" t="s">
        <v>32</v>
      </c>
      <c r="J295">
        <v>1</v>
      </c>
      <c r="K295">
        <v>1.35</v>
      </c>
      <c r="L295">
        <v>0.18</v>
      </c>
      <c r="M295" t="s">
        <v>37</v>
      </c>
      <c r="N295" t="s">
        <v>40</v>
      </c>
      <c r="O295">
        <v>4</v>
      </c>
      <c r="P295">
        <v>3.8</v>
      </c>
      <c r="Q295">
        <v>1.107</v>
      </c>
    </row>
    <row r="296" spans="1:17" x14ac:dyDescent="0.25">
      <c r="A296">
        <v>1295</v>
      </c>
      <c r="B296" s="3">
        <v>45221</v>
      </c>
      <c r="C296" s="3" t="str">
        <f>TEXT(Fruits_Vendor[[#This Row],[Order_Date]],"mmmm")</f>
        <v>October</v>
      </c>
      <c r="D296" s="3" t="str">
        <f>TEXT(Fruits_Vendor[[#This Row],[Order_Date]],"yyyy")</f>
        <v>2023</v>
      </c>
      <c r="E296">
        <v>2637</v>
      </c>
      <c r="F296" t="s">
        <v>18</v>
      </c>
      <c r="G296" t="s">
        <v>24</v>
      </c>
      <c r="H296" t="s">
        <v>30</v>
      </c>
      <c r="I296" t="s">
        <v>33</v>
      </c>
      <c r="J296">
        <v>40</v>
      </c>
      <c r="K296">
        <v>3.29</v>
      </c>
      <c r="L296">
        <v>0.11</v>
      </c>
      <c r="M296" t="s">
        <v>37</v>
      </c>
      <c r="N296" t="s">
        <v>39</v>
      </c>
      <c r="O296">
        <v>6</v>
      </c>
      <c r="P296">
        <v>4.5999999999999996</v>
      </c>
      <c r="Q296">
        <v>117.124</v>
      </c>
    </row>
    <row r="297" spans="1:17" x14ac:dyDescent="0.25">
      <c r="A297">
        <v>1296</v>
      </c>
      <c r="B297" s="3">
        <v>45222</v>
      </c>
      <c r="C297" s="3" t="str">
        <f>TEXT(Fruits_Vendor[[#This Row],[Order_Date]],"mmmm")</f>
        <v>October</v>
      </c>
      <c r="D297" s="3" t="str">
        <f>TEXT(Fruits_Vendor[[#This Row],[Order_Date]],"yyyy")</f>
        <v>2023</v>
      </c>
      <c r="E297">
        <v>2129</v>
      </c>
      <c r="F297" t="s">
        <v>18</v>
      </c>
      <c r="G297" t="s">
        <v>20</v>
      </c>
      <c r="H297" t="s">
        <v>29</v>
      </c>
      <c r="I297" t="s">
        <v>31</v>
      </c>
      <c r="J297">
        <v>12</v>
      </c>
      <c r="K297">
        <v>1.96</v>
      </c>
      <c r="L297">
        <v>0.05</v>
      </c>
      <c r="M297" t="s">
        <v>36</v>
      </c>
      <c r="N297" t="s">
        <v>38</v>
      </c>
      <c r="O297">
        <v>3</v>
      </c>
      <c r="P297">
        <v>3.5</v>
      </c>
      <c r="Q297">
        <v>22.344000000000001</v>
      </c>
    </row>
    <row r="298" spans="1:17" x14ac:dyDescent="0.25">
      <c r="A298">
        <v>1297</v>
      </c>
      <c r="B298" s="3">
        <v>45223</v>
      </c>
      <c r="C298" s="3" t="str">
        <f>TEXT(Fruits_Vendor[[#This Row],[Order_Date]],"mmmm")</f>
        <v>October</v>
      </c>
      <c r="D298" s="3" t="str">
        <f>TEXT(Fruits_Vendor[[#This Row],[Order_Date]],"yyyy")</f>
        <v>2023</v>
      </c>
      <c r="E298">
        <v>2052</v>
      </c>
      <c r="F298" t="s">
        <v>18</v>
      </c>
      <c r="G298" t="s">
        <v>24</v>
      </c>
      <c r="H298" t="s">
        <v>26</v>
      </c>
      <c r="I298" t="s">
        <v>33</v>
      </c>
      <c r="J298">
        <v>36</v>
      </c>
      <c r="K298">
        <v>4.25</v>
      </c>
      <c r="L298">
        <v>0.02</v>
      </c>
      <c r="M298" t="s">
        <v>35</v>
      </c>
      <c r="N298" t="s">
        <v>39</v>
      </c>
      <c r="O298">
        <v>4</v>
      </c>
      <c r="P298">
        <v>3.7</v>
      </c>
      <c r="Q298">
        <v>149.94</v>
      </c>
    </row>
    <row r="299" spans="1:17" x14ac:dyDescent="0.25">
      <c r="A299">
        <v>1298</v>
      </c>
      <c r="B299" s="3">
        <v>45224</v>
      </c>
      <c r="C299" s="3" t="str">
        <f>TEXT(Fruits_Vendor[[#This Row],[Order_Date]],"mmmm")</f>
        <v>October</v>
      </c>
      <c r="D299" s="3" t="str">
        <f>TEXT(Fruits_Vendor[[#This Row],[Order_Date]],"yyyy")</f>
        <v>2023</v>
      </c>
      <c r="E299">
        <v>2683</v>
      </c>
      <c r="F299" t="s">
        <v>16</v>
      </c>
      <c r="G299" t="s">
        <v>22</v>
      </c>
      <c r="H299" t="s">
        <v>28</v>
      </c>
      <c r="I299" t="s">
        <v>33</v>
      </c>
      <c r="J299">
        <v>45</v>
      </c>
      <c r="K299">
        <v>3.33</v>
      </c>
      <c r="L299">
        <v>0.02</v>
      </c>
      <c r="M299" t="s">
        <v>37</v>
      </c>
      <c r="N299" t="s">
        <v>38</v>
      </c>
      <c r="O299">
        <v>1</v>
      </c>
      <c r="P299">
        <v>2.5</v>
      </c>
      <c r="Q299">
        <v>146.85300000000001</v>
      </c>
    </row>
    <row r="300" spans="1:17" x14ac:dyDescent="0.25">
      <c r="A300">
        <v>1299</v>
      </c>
      <c r="B300" s="3">
        <v>45225</v>
      </c>
      <c r="C300" s="3" t="str">
        <f>TEXT(Fruits_Vendor[[#This Row],[Order_Date]],"mmmm")</f>
        <v>October</v>
      </c>
      <c r="D300" s="3" t="str">
        <f>TEXT(Fruits_Vendor[[#This Row],[Order_Date]],"yyyy")</f>
        <v>2023</v>
      </c>
      <c r="E300">
        <v>2729</v>
      </c>
      <c r="F300" t="s">
        <v>17</v>
      </c>
      <c r="G300" t="s">
        <v>22</v>
      </c>
      <c r="H300" t="s">
        <v>30</v>
      </c>
      <c r="I300" t="s">
        <v>31</v>
      </c>
      <c r="J300">
        <v>23</v>
      </c>
      <c r="K300">
        <v>1.39</v>
      </c>
      <c r="L300">
        <v>0.14000000000000001</v>
      </c>
      <c r="M300" t="s">
        <v>35</v>
      </c>
      <c r="N300" t="s">
        <v>38</v>
      </c>
      <c r="O300">
        <v>5</v>
      </c>
      <c r="P300">
        <v>3.5</v>
      </c>
      <c r="Q300">
        <v>27.494199999999999</v>
      </c>
    </row>
    <row r="301" spans="1:17" x14ac:dyDescent="0.25">
      <c r="A301">
        <v>1300</v>
      </c>
      <c r="B301" s="3">
        <v>45226</v>
      </c>
      <c r="C301" s="3" t="str">
        <f>TEXT(Fruits_Vendor[[#This Row],[Order_Date]],"mmmm")</f>
        <v>October</v>
      </c>
      <c r="D301" s="3" t="str">
        <f>TEXT(Fruits_Vendor[[#This Row],[Order_Date]],"yyyy")</f>
        <v>2023</v>
      </c>
      <c r="E301">
        <v>2671</v>
      </c>
      <c r="F301" t="s">
        <v>15</v>
      </c>
      <c r="G301" t="s">
        <v>20</v>
      </c>
      <c r="H301" t="s">
        <v>30</v>
      </c>
      <c r="I301" t="s">
        <v>31</v>
      </c>
      <c r="J301">
        <v>47</v>
      </c>
      <c r="K301">
        <v>0.79</v>
      </c>
      <c r="L301">
        <v>0.08</v>
      </c>
      <c r="M301" t="s">
        <v>36</v>
      </c>
      <c r="N301" t="s">
        <v>40</v>
      </c>
      <c r="O301">
        <v>5</v>
      </c>
      <c r="P301">
        <v>4.0999999999999996</v>
      </c>
      <c r="Q301">
        <v>34.159599999999998</v>
      </c>
    </row>
    <row r="302" spans="1:17" x14ac:dyDescent="0.25">
      <c r="A302">
        <v>1301</v>
      </c>
      <c r="B302" s="3">
        <v>45227</v>
      </c>
      <c r="C302" s="3" t="str">
        <f>TEXT(Fruits_Vendor[[#This Row],[Order_Date]],"mmmm")</f>
        <v>October</v>
      </c>
      <c r="D302" s="3" t="str">
        <f>TEXT(Fruits_Vendor[[#This Row],[Order_Date]],"yyyy")</f>
        <v>2023</v>
      </c>
      <c r="E302">
        <v>2709</v>
      </c>
      <c r="F302" t="s">
        <v>18</v>
      </c>
      <c r="G302" t="s">
        <v>20</v>
      </c>
      <c r="H302" t="s">
        <v>26</v>
      </c>
      <c r="I302" t="s">
        <v>33</v>
      </c>
      <c r="J302">
        <v>31</v>
      </c>
      <c r="K302">
        <v>0.69</v>
      </c>
      <c r="L302">
        <v>0.18</v>
      </c>
      <c r="M302" t="s">
        <v>35</v>
      </c>
      <c r="N302" t="s">
        <v>38</v>
      </c>
      <c r="O302">
        <v>2</v>
      </c>
      <c r="P302">
        <v>2.5</v>
      </c>
      <c r="Q302">
        <v>17.5398</v>
      </c>
    </row>
    <row r="303" spans="1:17" x14ac:dyDescent="0.25">
      <c r="A303">
        <v>1302</v>
      </c>
      <c r="B303" s="3">
        <v>45228</v>
      </c>
      <c r="C303" s="3" t="str">
        <f>TEXT(Fruits_Vendor[[#This Row],[Order_Date]],"mmmm")</f>
        <v>October</v>
      </c>
      <c r="D303" s="3" t="str">
        <f>TEXT(Fruits_Vendor[[#This Row],[Order_Date]],"yyyy")</f>
        <v>2023</v>
      </c>
      <c r="E303">
        <v>2415</v>
      </c>
      <c r="F303" t="s">
        <v>18</v>
      </c>
      <c r="G303" t="s">
        <v>24</v>
      </c>
      <c r="H303" t="s">
        <v>27</v>
      </c>
      <c r="I303" t="s">
        <v>31</v>
      </c>
      <c r="J303">
        <v>11</v>
      </c>
      <c r="K303">
        <v>2.17</v>
      </c>
      <c r="L303">
        <v>0.15</v>
      </c>
      <c r="M303" t="s">
        <v>35</v>
      </c>
      <c r="N303" t="s">
        <v>38</v>
      </c>
      <c r="O303">
        <v>2</v>
      </c>
      <c r="P303">
        <v>3.2</v>
      </c>
      <c r="Q303">
        <v>20.2895</v>
      </c>
    </row>
    <row r="304" spans="1:17" x14ac:dyDescent="0.25">
      <c r="A304">
        <v>1303</v>
      </c>
      <c r="B304" s="3">
        <v>45229</v>
      </c>
      <c r="C304" s="3" t="str">
        <f>TEXT(Fruits_Vendor[[#This Row],[Order_Date]],"mmmm")</f>
        <v>October</v>
      </c>
      <c r="D304" s="3" t="str">
        <f>TEXT(Fruits_Vendor[[#This Row],[Order_Date]],"yyyy")</f>
        <v>2023</v>
      </c>
      <c r="E304">
        <v>2246</v>
      </c>
      <c r="F304" t="s">
        <v>18</v>
      </c>
      <c r="G304" t="s">
        <v>19</v>
      </c>
      <c r="H304" t="s">
        <v>29</v>
      </c>
      <c r="I304" t="s">
        <v>32</v>
      </c>
      <c r="J304">
        <v>10</v>
      </c>
      <c r="K304">
        <v>1.7</v>
      </c>
      <c r="L304">
        <v>0.04</v>
      </c>
      <c r="M304" t="s">
        <v>35</v>
      </c>
      <c r="N304" t="s">
        <v>39</v>
      </c>
      <c r="O304">
        <v>6</v>
      </c>
      <c r="P304">
        <v>3</v>
      </c>
      <c r="Q304">
        <v>16.32</v>
      </c>
    </row>
    <row r="305" spans="1:17" x14ac:dyDescent="0.25">
      <c r="A305">
        <v>1304</v>
      </c>
      <c r="B305" s="3">
        <v>45230</v>
      </c>
      <c r="C305" s="3" t="str">
        <f>TEXT(Fruits_Vendor[[#This Row],[Order_Date]],"mmmm")</f>
        <v>October</v>
      </c>
      <c r="D305" s="3" t="str">
        <f>TEXT(Fruits_Vendor[[#This Row],[Order_Date]],"yyyy")</f>
        <v>2023</v>
      </c>
      <c r="E305">
        <v>2835</v>
      </c>
      <c r="F305" t="s">
        <v>16</v>
      </c>
      <c r="G305" t="s">
        <v>24</v>
      </c>
      <c r="H305" t="s">
        <v>30</v>
      </c>
      <c r="I305" t="s">
        <v>32</v>
      </c>
      <c r="J305">
        <v>3</v>
      </c>
      <c r="K305">
        <v>3.41</v>
      </c>
      <c r="L305">
        <v>0.12</v>
      </c>
      <c r="M305" t="s">
        <v>35</v>
      </c>
      <c r="N305" t="s">
        <v>40</v>
      </c>
      <c r="O305">
        <v>6</v>
      </c>
      <c r="P305">
        <v>2.6</v>
      </c>
      <c r="Q305">
        <v>9.0023999999999997</v>
      </c>
    </row>
    <row r="306" spans="1:17" x14ac:dyDescent="0.25">
      <c r="A306">
        <v>1305</v>
      </c>
      <c r="B306" s="3">
        <v>45231</v>
      </c>
      <c r="C306" s="3" t="str">
        <f>TEXT(Fruits_Vendor[[#This Row],[Order_Date]],"mmmm")</f>
        <v>November</v>
      </c>
      <c r="D306" s="3" t="str">
        <f>TEXT(Fruits_Vendor[[#This Row],[Order_Date]],"yyyy")</f>
        <v>2023</v>
      </c>
      <c r="E306">
        <v>2438</v>
      </c>
      <c r="F306" t="s">
        <v>18</v>
      </c>
      <c r="G306" t="s">
        <v>20</v>
      </c>
      <c r="H306" t="s">
        <v>26</v>
      </c>
      <c r="I306" t="s">
        <v>31</v>
      </c>
      <c r="J306">
        <v>14</v>
      </c>
      <c r="K306">
        <v>2.75</v>
      </c>
      <c r="L306">
        <v>0.09</v>
      </c>
      <c r="M306" t="s">
        <v>36</v>
      </c>
      <c r="N306" t="s">
        <v>38</v>
      </c>
      <c r="O306">
        <v>5</v>
      </c>
      <c r="P306">
        <v>3.7</v>
      </c>
      <c r="Q306">
        <v>35.034999999999997</v>
      </c>
    </row>
    <row r="307" spans="1:17" x14ac:dyDescent="0.25">
      <c r="A307">
        <v>1306</v>
      </c>
      <c r="B307" s="3">
        <v>45232</v>
      </c>
      <c r="C307" s="3" t="str">
        <f>TEXT(Fruits_Vendor[[#This Row],[Order_Date]],"mmmm")</f>
        <v>November</v>
      </c>
      <c r="D307" s="3" t="str">
        <f>TEXT(Fruits_Vendor[[#This Row],[Order_Date]],"yyyy")</f>
        <v>2023</v>
      </c>
      <c r="E307">
        <v>2202</v>
      </c>
      <c r="F307" t="s">
        <v>18</v>
      </c>
      <c r="G307" t="s">
        <v>23</v>
      </c>
      <c r="H307" t="s">
        <v>26</v>
      </c>
      <c r="I307" t="s">
        <v>33</v>
      </c>
      <c r="J307">
        <v>16</v>
      </c>
      <c r="K307">
        <v>1.7</v>
      </c>
      <c r="L307">
        <v>0.12</v>
      </c>
      <c r="M307" t="s">
        <v>37</v>
      </c>
      <c r="N307" t="s">
        <v>38</v>
      </c>
      <c r="O307">
        <v>1</v>
      </c>
      <c r="P307">
        <v>3</v>
      </c>
      <c r="Q307">
        <v>23.936</v>
      </c>
    </row>
    <row r="308" spans="1:17" x14ac:dyDescent="0.25">
      <c r="A308">
        <v>1307</v>
      </c>
      <c r="B308" s="3">
        <v>45233</v>
      </c>
      <c r="C308" s="3" t="str">
        <f>TEXT(Fruits_Vendor[[#This Row],[Order_Date]],"mmmm")</f>
        <v>November</v>
      </c>
      <c r="D308" s="3" t="str">
        <f>TEXT(Fruits_Vendor[[#This Row],[Order_Date]],"yyyy")</f>
        <v>2023</v>
      </c>
      <c r="E308">
        <v>2183</v>
      </c>
      <c r="F308" t="s">
        <v>18</v>
      </c>
      <c r="G308" t="s">
        <v>20</v>
      </c>
      <c r="H308" t="s">
        <v>28</v>
      </c>
      <c r="I308" t="s">
        <v>31</v>
      </c>
      <c r="J308">
        <v>10</v>
      </c>
      <c r="K308">
        <v>1.17</v>
      </c>
      <c r="L308">
        <v>0.15</v>
      </c>
      <c r="M308" t="s">
        <v>34</v>
      </c>
      <c r="N308" t="s">
        <v>40</v>
      </c>
      <c r="O308">
        <v>3</v>
      </c>
      <c r="P308">
        <v>4.4000000000000004</v>
      </c>
      <c r="Q308">
        <v>9.9449999999999985</v>
      </c>
    </row>
    <row r="309" spans="1:17" x14ac:dyDescent="0.25">
      <c r="A309">
        <v>1308</v>
      </c>
      <c r="B309" s="3">
        <v>45234</v>
      </c>
      <c r="C309" s="3" t="str">
        <f>TEXT(Fruits_Vendor[[#This Row],[Order_Date]],"mmmm")</f>
        <v>November</v>
      </c>
      <c r="D309" s="3" t="str">
        <f>TEXT(Fruits_Vendor[[#This Row],[Order_Date]],"yyyy")</f>
        <v>2023</v>
      </c>
      <c r="E309">
        <v>2122</v>
      </c>
      <c r="F309" t="s">
        <v>17</v>
      </c>
      <c r="G309" t="s">
        <v>23</v>
      </c>
      <c r="H309" t="s">
        <v>27</v>
      </c>
      <c r="I309" t="s">
        <v>31</v>
      </c>
      <c r="J309">
        <v>29</v>
      </c>
      <c r="K309">
        <v>1.07</v>
      </c>
      <c r="L309">
        <v>0.16</v>
      </c>
      <c r="M309" t="s">
        <v>35</v>
      </c>
      <c r="N309" t="s">
        <v>39</v>
      </c>
      <c r="O309">
        <v>3</v>
      </c>
      <c r="P309">
        <v>4.5999999999999996</v>
      </c>
      <c r="Q309">
        <v>26.065200000000001</v>
      </c>
    </row>
    <row r="310" spans="1:17" x14ac:dyDescent="0.25">
      <c r="A310">
        <v>1309</v>
      </c>
      <c r="B310" s="3">
        <v>45235</v>
      </c>
      <c r="C310" s="3" t="str">
        <f>TEXT(Fruits_Vendor[[#This Row],[Order_Date]],"mmmm")</f>
        <v>November</v>
      </c>
      <c r="D310" s="3" t="str">
        <f>TEXT(Fruits_Vendor[[#This Row],[Order_Date]],"yyyy")</f>
        <v>2023</v>
      </c>
      <c r="E310">
        <v>2400</v>
      </c>
      <c r="F310" t="s">
        <v>16</v>
      </c>
      <c r="G310" t="s">
        <v>21</v>
      </c>
      <c r="H310" t="s">
        <v>29</v>
      </c>
      <c r="I310" t="s">
        <v>33</v>
      </c>
      <c r="J310">
        <v>10</v>
      </c>
      <c r="K310">
        <v>4.3899999999999997</v>
      </c>
      <c r="L310">
        <v>0.17</v>
      </c>
      <c r="M310" t="s">
        <v>37</v>
      </c>
      <c r="N310" t="s">
        <v>40</v>
      </c>
      <c r="O310">
        <v>6</v>
      </c>
      <c r="P310">
        <v>3.9</v>
      </c>
      <c r="Q310">
        <v>36.436999999999998</v>
      </c>
    </row>
    <row r="311" spans="1:17" x14ac:dyDescent="0.25">
      <c r="A311">
        <v>1310</v>
      </c>
      <c r="B311" s="3">
        <v>45236</v>
      </c>
      <c r="C311" s="3" t="str">
        <f>TEXT(Fruits_Vendor[[#This Row],[Order_Date]],"mmmm")</f>
        <v>November</v>
      </c>
      <c r="D311" s="3" t="str">
        <f>TEXT(Fruits_Vendor[[#This Row],[Order_Date]],"yyyy")</f>
        <v>2023</v>
      </c>
      <c r="E311">
        <v>2766</v>
      </c>
      <c r="F311" t="s">
        <v>18</v>
      </c>
      <c r="G311" t="s">
        <v>20</v>
      </c>
      <c r="H311" t="s">
        <v>25</v>
      </c>
      <c r="I311" t="s">
        <v>33</v>
      </c>
      <c r="J311">
        <v>12</v>
      </c>
      <c r="K311">
        <v>1.6</v>
      </c>
      <c r="L311">
        <v>0.05</v>
      </c>
      <c r="M311" t="s">
        <v>37</v>
      </c>
      <c r="N311" t="s">
        <v>40</v>
      </c>
      <c r="O311">
        <v>1</v>
      </c>
      <c r="P311">
        <v>5</v>
      </c>
      <c r="Q311">
        <v>18.239999999999998</v>
      </c>
    </row>
    <row r="312" spans="1:17" x14ac:dyDescent="0.25">
      <c r="A312">
        <v>1311</v>
      </c>
      <c r="B312" s="3">
        <v>45237</v>
      </c>
      <c r="C312" s="3" t="str">
        <f>TEXT(Fruits_Vendor[[#This Row],[Order_Date]],"mmmm")</f>
        <v>November</v>
      </c>
      <c r="D312" s="3" t="str">
        <f>TEXT(Fruits_Vendor[[#This Row],[Order_Date]],"yyyy")</f>
        <v>2023</v>
      </c>
      <c r="E312">
        <v>2293</v>
      </c>
      <c r="F312" t="s">
        <v>15</v>
      </c>
      <c r="G312" t="s">
        <v>21</v>
      </c>
      <c r="H312" t="s">
        <v>28</v>
      </c>
      <c r="I312" t="s">
        <v>32</v>
      </c>
      <c r="J312">
        <v>30</v>
      </c>
      <c r="K312">
        <v>3.43</v>
      </c>
      <c r="L312">
        <v>0.01</v>
      </c>
      <c r="M312" t="s">
        <v>36</v>
      </c>
      <c r="N312" t="s">
        <v>38</v>
      </c>
      <c r="O312">
        <v>6</v>
      </c>
      <c r="P312">
        <v>3.6</v>
      </c>
      <c r="Q312">
        <v>101.871</v>
      </c>
    </row>
    <row r="313" spans="1:17" x14ac:dyDescent="0.25">
      <c r="A313">
        <v>1312</v>
      </c>
      <c r="B313" s="3">
        <v>45238</v>
      </c>
      <c r="C313" s="3" t="str">
        <f>TEXT(Fruits_Vendor[[#This Row],[Order_Date]],"mmmm")</f>
        <v>November</v>
      </c>
      <c r="D313" s="3" t="str">
        <f>TEXT(Fruits_Vendor[[#This Row],[Order_Date]],"yyyy")</f>
        <v>2023</v>
      </c>
      <c r="E313">
        <v>2279</v>
      </c>
      <c r="F313" t="s">
        <v>15</v>
      </c>
      <c r="G313" t="s">
        <v>19</v>
      </c>
      <c r="H313" t="s">
        <v>30</v>
      </c>
      <c r="I313" t="s">
        <v>33</v>
      </c>
      <c r="J313">
        <v>41</v>
      </c>
      <c r="K313">
        <v>4.1500000000000004</v>
      </c>
      <c r="L313">
        <v>0.15</v>
      </c>
      <c r="M313" t="s">
        <v>37</v>
      </c>
      <c r="N313" t="s">
        <v>38</v>
      </c>
      <c r="O313">
        <v>3</v>
      </c>
      <c r="P313">
        <v>3.8</v>
      </c>
      <c r="Q313">
        <v>144.6275</v>
      </c>
    </row>
    <row r="314" spans="1:17" x14ac:dyDescent="0.25">
      <c r="A314">
        <v>1313</v>
      </c>
      <c r="B314" s="3">
        <v>45239</v>
      </c>
      <c r="C314" s="3" t="str">
        <f>TEXT(Fruits_Vendor[[#This Row],[Order_Date]],"mmmm")</f>
        <v>November</v>
      </c>
      <c r="D314" s="3" t="str">
        <f>TEXT(Fruits_Vendor[[#This Row],[Order_Date]],"yyyy")</f>
        <v>2023</v>
      </c>
      <c r="E314">
        <v>2836</v>
      </c>
      <c r="F314" t="s">
        <v>15</v>
      </c>
      <c r="G314" t="s">
        <v>24</v>
      </c>
      <c r="H314" t="s">
        <v>30</v>
      </c>
      <c r="I314" t="s">
        <v>32</v>
      </c>
      <c r="J314">
        <v>1</v>
      </c>
      <c r="K314">
        <v>3.26</v>
      </c>
      <c r="L314">
        <v>0.02</v>
      </c>
      <c r="M314" t="s">
        <v>36</v>
      </c>
      <c r="N314" t="s">
        <v>39</v>
      </c>
      <c r="O314">
        <v>6</v>
      </c>
      <c r="P314">
        <v>5</v>
      </c>
      <c r="Q314">
        <v>3.1947999999999999</v>
      </c>
    </row>
    <row r="315" spans="1:17" x14ac:dyDescent="0.25">
      <c r="A315">
        <v>1314</v>
      </c>
      <c r="B315" s="3">
        <v>45240</v>
      </c>
      <c r="C315" s="3" t="str">
        <f>TEXT(Fruits_Vendor[[#This Row],[Order_Date]],"mmmm")</f>
        <v>November</v>
      </c>
      <c r="D315" s="3" t="str">
        <f>TEXT(Fruits_Vendor[[#This Row],[Order_Date]],"yyyy")</f>
        <v>2023</v>
      </c>
      <c r="E315">
        <v>2883</v>
      </c>
      <c r="F315" t="s">
        <v>16</v>
      </c>
      <c r="G315" t="s">
        <v>23</v>
      </c>
      <c r="H315" t="s">
        <v>28</v>
      </c>
      <c r="I315" t="s">
        <v>33</v>
      </c>
      <c r="J315">
        <v>5</v>
      </c>
      <c r="K315">
        <v>4.37</v>
      </c>
      <c r="L315">
        <v>0.06</v>
      </c>
      <c r="M315" t="s">
        <v>35</v>
      </c>
      <c r="N315" t="s">
        <v>38</v>
      </c>
      <c r="O315">
        <v>4</v>
      </c>
      <c r="P315">
        <v>3.1</v>
      </c>
      <c r="Q315">
        <v>20.539000000000001</v>
      </c>
    </row>
    <row r="316" spans="1:17" x14ac:dyDescent="0.25">
      <c r="A316">
        <v>1315</v>
      </c>
      <c r="B316" s="3">
        <v>45241</v>
      </c>
      <c r="C316" s="3" t="str">
        <f>TEXT(Fruits_Vendor[[#This Row],[Order_Date]],"mmmm")</f>
        <v>November</v>
      </c>
      <c r="D316" s="3" t="str">
        <f>TEXT(Fruits_Vendor[[#This Row],[Order_Date]],"yyyy")</f>
        <v>2023</v>
      </c>
      <c r="E316">
        <v>2609</v>
      </c>
      <c r="F316" t="s">
        <v>16</v>
      </c>
      <c r="G316" t="s">
        <v>24</v>
      </c>
      <c r="H316" t="s">
        <v>26</v>
      </c>
      <c r="I316" t="s">
        <v>31</v>
      </c>
      <c r="J316">
        <v>20</v>
      </c>
      <c r="K316">
        <v>2.27</v>
      </c>
      <c r="L316">
        <v>0</v>
      </c>
      <c r="M316" t="s">
        <v>35</v>
      </c>
      <c r="N316" t="s">
        <v>38</v>
      </c>
      <c r="O316">
        <v>6</v>
      </c>
      <c r="P316">
        <v>4.9000000000000004</v>
      </c>
      <c r="Q316">
        <v>45.4</v>
      </c>
    </row>
    <row r="317" spans="1:17" x14ac:dyDescent="0.25">
      <c r="A317">
        <v>1316</v>
      </c>
      <c r="B317" s="3">
        <v>45242</v>
      </c>
      <c r="C317" s="3" t="str">
        <f>TEXT(Fruits_Vendor[[#This Row],[Order_Date]],"mmmm")</f>
        <v>November</v>
      </c>
      <c r="D317" s="3" t="str">
        <f>TEXT(Fruits_Vendor[[#This Row],[Order_Date]],"yyyy")</f>
        <v>2023</v>
      </c>
      <c r="E317">
        <v>2197</v>
      </c>
      <c r="F317" t="s">
        <v>15</v>
      </c>
      <c r="G317" t="s">
        <v>21</v>
      </c>
      <c r="H317" t="s">
        <v>30</v>
      </c>
      <c r="I317" t="s">
        <v>32</v>
      </c>
      <c r="J317">
        <v>8</v>
      </c>
      <c r="K317">
        <v>4.8</v>
      </c>
      <c r="L317">
        <v>0.14000000000000001</v>
      </c>
      <c r="M317" t="s">
        <v>34</v>
      </c>
      <c r="N317" t="s">
        <v>40</v>
      </c>
      <c r="O317">
        <v>5</v>
      </c>
      <c r="P317">
        <v>2.6</v>
      </c>
      <c r="Q317">
        <v>33.024000000000001</v>
      </c>
    </row>
    <row r="318" spans="1:17" x14ac:dyDescent="0.25">
      <c r="A318">
        <v>1317</v>
      </c>
      <c r="B318" s="3">
        <v>45243</v>
      </c>
      <c r="C318" s="3" t="str">
        <f>TEXT(Fruits_Vendor[[#This Row],[Order_Date]],"mmmm")</f>
        <v>November</v>
      </c>
      <c r="D318" s="3" t="str">
        <f>TEXT(Fruits_Vendor[[#This Row],[Order_Date]],"yyyy")</f>
        <v>2023</v>
      </c>
      <c r="E318">
        <v>2981</v>
      </c>
      <c r="F318" t="s">
        <v>18</v>
      </c>
      <c r="G318" t="s">
        <v>23</v>
      </c>
      <c r="H318" t="s">
        <v>27</v>
      </c>
      <c r="I318" t="s">
        <v>32</v>
      </c>
      <c r="J318">
        <v>43</v>
      </c>
      <c r="K318">
        <v>1.1000000000000001</v>
      </c>
      <c r="L318">
        <v>0.03</v>
      </c>
      <c r="M318" t="s">
        <v>34</v>
      </c>
      <c r="N318" t="s">
        <v>38</v>
      </c>
      <c r="O318">
        <v>6</v>
      </c>
      <c r="P318">
        <v>3.6</v>
      </c>
      <c r="Q318">
        <v>45.881</v>
      </c>
    </row>
    <row r="319" spans="1:17" x14ac:dyDescent="0.25">
      <c r="A319">
        <v>1318</v>
      </c>
      <c r="B319" s="3">
        <v>45244</v>
      </c>
      <c r="C319" s="3" t="str">
        <f>TEXT(Fruits_Vendor[[#This Row],[Order_Date]],"mmmm")</f>
        <v>November</v>
      </c>
      <c r="D319" s="3" t="str">
        <f>TEXT(Fruits_Vendor[[#This Row],[Order_Date]],"yyyy")</f>
        <v>2023</v>
      </c>
      <c r="E319">
        <v>2906</v>
      </c>
      <c r="F319" t="s">
        <v>16</v>
      </c>
      <c r="G319" t="s">
        <v>24</v>
      </c>
      <c r="H319" t="s">
        <v>29</v>
      </c>
      <c r="I319" t="s">
        <v>32</v>
      </c>
      <c r="J319">
        <v>12</v>
      </c>
      <c r="K319">
        <v>0.96</v>
      </c>
      <c r="L319">
        <v>0.13</v>
      </c>
      <c r="M319" t="s">
        <v>34</v>
      </c>
      <c r="N319" t="s">
        <v>39</v>
      </c>
      <c r="O319">
        <v>5</v>
      </c>
      <c r="P319">
        <v>2.7</v>
      </c>
      <c r="Q319">
        <v>10.022399999999999</v>
      </c>
    </row>
    <row r="320" spans="1:17" x14ac:dyDescent="0.25">
      <c r="A320">
        <v>1319</v>
      </c>
      <c r="B320" s="3">
        <v>45245</v>
      </c>
      <c r="C320" s="3" t="str">
        <f>TEXT(Fruits_Vendor[[#This Row],[Order_Date]],"mmmm")</f>
        <v>November</v>
      </c>
      <c r="D320" s="3" t="str">
        <f>TEXT(Fruits_Vendor[[#This Row],[Order_Date]],"yyyy")</f>
        <v>2023</v>
      </c>
      <c r="E320">
        <v>2510</v>
      </c>
      <c r="F320" t="s">
        <v>15</v>
      </c>
      <c r="G320" t="s">
        <v>20</v>
      </c>
      <c r="H320" t="s">
        <v>27</v>
      </c>
      <c r="I320" t="s">
        <v>31</v>
      </c>
      <c r="J320">
        <v>1</v>
      </c>
      <c r="K320">
        <v>3.46</v>
      </c>
      <c r="L320">
        <v>0.2</v>
      </c>
      <c r="M320" t="s">
        <v>37</v>
      </c>
      <c r="N320" t="s">
        <v>40</v>
      </c>
      <c r="O320">
        <v>1</v>
      </c>
      <c r="P320">
        <v>4.3</v>
      </c>
      <c r="Q320">
        <v>2.7679999999999998</v>
      </c>
    </row>
    <row r="321" spans="1:17" x14ac:dyDescent="0.25">
      <c r="A321">
        <v>1320</v>
      </c>
      <c r="B321" s="3">
        <v>45246</v>
      </c>
      <c r="C321" s="3" t="str">
        <f>TEXT(Fruits_Vendor[[#This Row],[Order_Date]],"mmmm")</f>
        <v>November</v>
      </c>
      <c r="D321" s="3" t="str">
        <f>TEXT(Fruits_Vendor[[#This Row],[Order_Date]],"yyyy")</f>
        <v>2023</v>
      </c>
      <c r="E321">
        <v>2751</v>
      </c>
      <c r="F321" t="s">
        <v>15</v>
      </c>
      <c r="G321" t="s">
        <v>22</v>
      </c>
      <c r="H321" t="s">
        <v>30</v>
      </c>
      <c r="I321" t="s">
        <v>31</v>
      </c>
      <c r="J321">
        <v>20</v>
      </c>
      <c r="K321">
        <v>4.74</v>
      </c>
      <c r="L321">
        <v>0.01</v>
      </c>
      <c r="M321" t="s">
        <v>35</v>
      </c>
      <c r="N321" t="s">
        <v>39</v>
      </c>
      <c r="O321">
        <v>3</v>
      </c>
      <c r="P321">
        <v>4</v>
      </c>
      <c r="Q321">
        <v>93.852000000000004</v>
      </c>
    </row>
    <row r="322" spans="1:17" x14ac:dyDescent="0.25">
      <c r="A322">
        <v>1321</v>
      </c>
      <c r="B322" s="3">
        <v>45247</v>
      </c>
      <c r="C322" s="3" t="str">
        <f>TEXT(Fruits_Vendor[[#This Row],[Order_Date]],"mmmm")</f>
        <v>November</v>
      </c>
      <c r="D322" s="3" t="str">
        <f>TEXT(Fruits_Vendor[[#This Row],[Order_Date]],"yyyy")</f>
        <v>2023</v>
      </c>
      <c r="E322">
        <v>2143</v>
      </c>
      <c r="F322" t="s">
        <v>18</v>
      </c>
      <c r="G322" t="s">
        <v>21</v>
      </c>
      <c r="H322" t="s">
        <v>25</v>
      </c>
      <c r="I322" t="s">
        <v>31</v>
      </c>
      <c r="J322">
        <v>28</v>
      </c>
      <c r="K322">
        <v>4.1399999999999997</v>
      </c>
      <c r="L322">
        <v>0.02</v>
      </c>
      <c r="M322" t="s">
        <v>36</v>
      </c>
      <c r="N322" t="s">
        <v>40</v>
      </c>
      <c r="O322">
        <v>2</v>
      </c>
      <c r="P322">
        <v>4.3</v>
      </c>
      <c r="Q322">
        <v>113.6016</v>
      </c>
    </row>
    <row r="323" spans="1:17" x14ac:dyDescent="0.25">
      <c r="A323">
        <v>1322</v>
      </c>
      <c r="B323" s="3">
        <v>45248</v>
      </c>
      <c r="C323" s="3" t="str">
        <f>TEXT(Fruits_Vendor[[#This Row],[Order_Date]],"mmmm")</f>
        <v>November</v>
      </c>
      <c r="D323" s="3" t="str">
        <f>TEXT(Fruits_Vendor[[#This Row],[Order_Date]],"yyyy")</f>
        <v>2023</v>
      </c>
      <c r="E323">
        <v>2608</v>
      </c>
      <c r="F323" t="s">
        <v>17</v>
      </c>
      <c r="G323" t="s">
        <v>24</v>
      </c>
      <c r="H323" t="s">
        <v>29</v>
      </c>
      <c r="I323" t="s">
        <v>31</v>
      </c>
      <c r="J323">
        <v>43</v>
      </c>
      <c r="K323">
        <v>0.84</v>
      </c>
      <c r="L323">
        <v>7.0000000000000007E-2</v>
      </c>
      <c r="M323" t="s">
        <v>34</v>
      </c>
      <c r="N323" t="s">
        <v>38</v>
      </c>
      <c r="O323">
        <v>2</v>
      </c>
      <c r="P323">
        <v>3.4</v>
      </c>
      <c r="Q323">
        <v>33.591599999999993</v>
      </c>
    </row>
    <row r="324" spans="1:17" x14ac:dyDescent="0.25">
      <c r="A324">
        <v>1323</v>
      </c>
      <c r="B324" s="3">
        <v>45249</v>
      </c>
      <c r="C324" s="3" t="str">
        <f>TEXT(Fruits_Vendor[[#This Row],[Order_Date]],"mmmm")</f>
        <v>November</v>
      </c>
      <c r="D324" s="3" t="str">
        <f>TEXT(Fruits_Vendor[[#This Row],[Order_Date]],"yyyy")</f>
        <v>2023</v>
      </c>
      <c r="E324">
        <v>2200</v>
      </c>
      <c r="F324" t="s">
        <v>16</v>
      </c>
      <c r="G324" t="s">
        <v>21</v>
      </c>
      <c r="H324" t="s">
        <v>29</v>
      </c>
      <c r="I324" t="s">
        <v>31</v>
      </c>
      <c r="J324">
        <v>37</v>
      </c>
      <c r="K324">
        <v>1.76</v>
      </c>
      <c r="L324">
        <v>0.17</v>
      </c>
      <c r="M324" t="s">
        <v>36</v>
      </c>
      <c r="N324" t="s">
        <v>40</v>
      </c>
      <c r="O324">
        <v>3</v>
      </c>
      <c r="P324">
        <v>3.4</v>
      </c>
      <c r="Q324">
        <v>54.049599999999998</v>
      </c>
    </row>
    <row r="325" spans="1:17" x14ac:dyDescent="0.25">
      <c r="A325">
        <v>1324</v>
      </c>
      <c r="B325" s="3">
        <v>45250</v>
      </c>
      <c r="C325" s="3" t="str">
        <f>TEXT(Fruits_Vendor[[#This Row],[Order_Date]],"mmmm")</f>
        <v>November</v>
      </c>
      <c r="D325" s="3" t="str">
        <f>TEXT(Fruits_Vendor[[#This Row],[Order_Date]],"yyyy")</f>
        <v>2023</v>
      </c>
      <c r="E325">
        <v>2123</v>
      </c>
      <c r="F325" t="s">
        <v>18</v>
      </c>
      <c r="G325" t="s">
        <v>21</v>
      </c>
      <c r="H325" t="s">
        <v>28</v>
      </c>
      <c r="I325" t="s">
        <v>32</v>
      </c>
      <c r="J325">
        <v>47</v>
      </c>
      <c r="K325">
        <v>4.6900000000000004</v>
      </c>
      <c r="L325">
        <v>0.04</v>
      </c>
      <c r="M325" t="s">
        <v>36</v>
      </c>
      <c r="N325" t="s">
        <v>40</v>
      </c>
      <c r="O325">
        <v>2</v>
      </c>
      <c r="P325">
        <v>2.6</v>
      </c>
      <c r="Q325">
        <v>211.61279999999999</v>
      </c>
    </row>
    <row r="326" spans="1:17" x14ac:dyDescent="0.25">
      <c r="A326">
        <v>1325</v>
      </c>
      <c r="B326" s="3">
        <v>45251</v>
      </c>
      <c r="C326" s="3" t="str">
        <f>TEXT(Fruits_Vendor[[#This Row],[Order_Date]],"mmmm")</f>
        <v>November</v>
      </c>
      <c r="D326" s="3" t="str">
        <f>TEXT(Fruits_Vendor[[#This Row],[Order_Date]],"yyyy")</f>
        <v>2023</v>
      </c>
      <c r="E326">
        <v>2186</v>
      </c>
      <c r="F326" t="s">
        <v>15</v>
      </c>
      <c r="G326" t="s">
        <v>23</v>
      </c>
      <c r="H326" t="s">
        <v>28</v>
      </c>
      <c r="I326" t="s">
        <v>31</v>
      </c>
      <c r="J326">
        <v>37</v>
      </c>
      <c r="K326">
        <v>1.64</v>
      </c>
      <c r="L326">
        <v>7.0000000000000007E-2</v>
      </c>
      <c r="M326" t="s">
        <v>34</v>
      </c>
      <c r="N326" t="s">
        <v>38</v>
      </c>
      <c r="O326">
        <v>6</v>
      </c>
      <c r="P326">
        <v>3.4</v>
      </c>
      <c r="Q326">
        <v>56.432399999999987</v>
      </c>
    </row>
    <row r="327" spans="1:17" x14ac:dyDescent="0.25">
      <c r="A327">
        <v>1326</v>
      </c>
      <c r="B327" s="3">
        <v>45252</v>
      </c>
      <c r="C327" s="3" t="str">
        <f>TEXT(Fruits_Vendor[[#This Row],[Order_Date]],"mmmm")</f>
        <v>November</v>
      </c>
      <c r="D327" s="3" t="str">
        <f>TEXT(Fruits_Vendor[[#This Row],[Order_Date]],"yyyy")</f>
        <v>2023</v>
      </c>
      <c r="E327">
        <v>2325</v>
      </c>
      <c r="F327" t="s">
        <v>15</v>
      </c>
      <c r="G327" t="s">
        <v>23</v>
      </c>
      <c r="H327" t="s">
        <v>25</v>
      </c>
      <c r="I327" t="s">
        <v>32</v>
      </c>
      <c r="J327">
        <v>12</v>
      </c>
      <c r="K327">
        <v>4.0199999999999996</v>
      </c>
      <c r="L327">
        <v>0.01</v>
      </c>
      <c r="M327" t="s">
        <v>35</v>
      </c>
      <c r="N327" t="s">
        <v>38</v>
      </c>
      <c r="O327">
        <v>1</v>
      </c>
      <c r="P327">
        <v>4.8</v>
      </c>
      <c r="Q327">
        <v>47.757599999999996</v>
      </c>
    </row>
    <row r="328" spans="1:17" x14ac:dyDescent="0.25">
      <c r="A328">
        <v>1327</v>
      </c>
      <c r="B328" s="3">
        <v>45253</v>
      </c>
      <c r="C328" s="3" t="str">
        <f>TEXT(Fruits_Vendor[[#This Row],[Order_Date]],"mmmm")</f>
        <v>November</v>
      </c>
      <c r="D328" s="3" t="str">
        <f>TEXT(Fruits_Vendor[[#This Row],[Order_Date]],"yyyy")</f>
        <v>2023</v>
      </c>
      <c r="E328">
        <v>2463</v>
      </c>
      <c r="F328" t="s">
        <v>18</v>
      </c>
      <c r="G328" t="s">
        <v>22</v>
      </c>
      <c r="H328" t="s">
        <v>26</v>
      </c>
      <c r="I328" t="s">
        <v>31</v>
      </c>
      <c r="J328">
        <v>37</v>
      </c>
      <c r="K328">
        <v>4.21</v>
      </c>
      <c r="L328">
        <v>0.15</v>
      </c>
      <c r="M328" t="s">
        <v>34</v>
      </c>
      <c r="N328" t="s">
        <v>39</v>
      </c>
      <c r="O328">
        <v>1</v>
      </c>
      <c r="P328">
        <v>3.4</v>
      </c>
      <c r="Q328">
        <v>132.40450000000001</v>
      </c>
    </row>
    <row r="329" spans="1:17" x14ac:dyDescent="0.25">
      <c r="A329">
        <v>1328</v>
      </c>
      <c r="B329" s="3">
        <v>45254</v>
      </c>
      <c r="C329" s="3" t="str">
        <f>TEXT(Fruits_Vendor[[#This Row],[Order_Date]],"mmmm")</f>
        <v>November</v>
      </c>
      <c r="D329" s="3" t="str">
        <f>TEXT(Fruits_Vendor[[#This Row],[Order_Date]],"yyyy")</f>
        <v>2023</v>
      </c>
      <c r="E329">
        <v>2348</v>
      </c>
      <c r="F329" t="s">
        <v>16</v>
      </c>
      <c r="G329" t="s">
        <v>20</v>
      </c>
      <c r="H329" t="s">
        <v>29</v>
      </c>
      <c r="I329" t="s">
        <v>33</v>
      </c>
      <c r="J329">
        <v>49</v>
      </c>
      <c r="K329">
        <v>2.73</v>
      </c>
      <c r="L329">
        <v>0.08</v>
      </c>
      <c r="M329" t="s">
        <v>36</v>
      </c>
      <c r="N329" t="s">
        <v>39</v>
      </c>
      <c r="O329">
        <v>3</v>
      </c>
      <c r="P329">
        <v>4.5999999999999996</v>
      </c>
      <c r="Q329">
        <v>123.0684</v>
      </c>
    </row>
    <row r="330" spans="1:17" x14ac:dyDescent="0.25">
      <c r="A330">
        <v>1329</v>
      </c>
      <c r="B330" s="3">
        <v>45255</v>
      </c>
      <c r="C330" s="3" t="str">
        <f>TEXT(Fruits_Vendor[[#This Row],[Order_Date]],"mmmm")</f>
        <v>November</v>
      </c>
      <c r="D330" s="3" t="str">
        <f>TEXT(Fruits_Vendor[[#This Row],[Order_Date]],"yyyy")</f>
        <v>2023</v>
      </c>
      <c r="E330">
        <v>2770</v>
      </c>
      <c r="F330" t="s">
        <v>17</v>
      </c>
      <c r="G330" t="s">
        <v>21</v>
      </c>
      <c r="H330" t="s">
        <v>25</v>
      </c>
      <c r="I330" t="s">
        <v>32</v>
      </c>
      <c r="J330">
        <v>49</v>
      </c>
      <c r="K330">
        <v>2.2400000000000002</v>
      </c>
      <c r="L330">
        <v>0.15</v>
      </c>
      <c r="M330" t="s">
        <v>34</v>
      </c>
      <c r="N330" t="s">
        <v>38</v>
      </c>
      <c r="O330">
        <v>2</v>
      </c>
      <c r="P330">
        <v>4.5999999999999996</v>
      </c>
      <c r="Q330">
        <v>93.296000000000006</v>
      </c>
    </row>
    <row r="331" spans="1:17" x14ac:dyDescent="0.25">
      <c r="A331">
        <v>1330</v>
      </c>
      <c r="B331" s="3">
        <v>45256</v>
      </c>
      <c r="C331" s="3" t="str">
        <f>TEXT(Fruits_Vendor[[#This Row],[Order_Date]],"mmmm")</f>
        <v>November</v>
      </c>
      <c r="D331" s="3" t="str">
        <f>TEXT(Fruits_Vendor[[#This Row],[Order_Date]],"yyyy")</f>
        <v>2023</v>
      </c>
      <c r="E331">
        <v>2659</v>
      </c>
      <c r="F331" t="s">
        <v>17</v>
      </c>
      <c r="G331" t="s">
        <v>24</v>
      </c>
      <c r="H331" t="s">
        <v>28</v>
      </c>
      <c r="I331" t="s">
        <v>33</v>
      </c>
      <c r="J331">
        <v>44</v>
      </c>
      <c r="K331">
        <v>2.5299999999999998</v>
      </c>
      <c r="L331">
        <v>0.18</v>
      </c>
      <c r="M331" t="s">
        <v>36</v>
      </c>
      <c r="N331" t="s">
        <v>38</v>
      </c>
      <c r="O331">
        <v>6</v>
      </c>
      <c r="P331">
        <v>3.4</v>
      </c>
      <c r="Q331">
        <v>91.282399999999996</v>
      </c>
    </row>
    <row r="332" spans="1:17" x14ac:dyDescent="0.25">
      <c r="A332">
        <v>1331</v>
      </c>
      <c r="B332" s="3">
        <v>45257</v>
      </c>
      <c r="C332" s="3" t="str">
        <f>TEXT(Fruits_Vendor[[#This Row],[Order_Date]],"mmmm")</f>
        <v>November</v>
      </c>
      <c r="D332" s="3" t="str">
        <f>TEXT(Fruits_Vendor[[#This Row],[Order_Date]],"yyyy")</f>
        <v>2023</v>
      </c>
      <c r="E332">
        <v>2763</v>
      </c>
      <c r="F332" t="s">
        <v>15</v>
      </c>
      <c r="G332" t="s">
        <v>19</v>
      </c>
      <c r="H332" t="s">
        <v>28</v>
      </c>
      <c r="I332" t="s">
        <v>32</v>
      </c>
      <c r="J332">
        <v>28</v>
      </c>
      <c r="K332">
        <v>1.52</v>
      </c>
      <c r="L332">
        <v>0.05</v>
      </c>
      <c r="M332" t="s">
        <v>36</v>
      </c>
      <c r="N332" t="s">
        <v>38</v>
      </c>
      <c r="O332">
        <v>1</v>
      </c>
      <c r="P332">
        <v>4.0999999999999996</v>
      </c>
      <c r="Q332">
        <v>40.432000000000002</v>
      </c>
    </row>
    <row r="333" spans="1:17" x14ac:dyDescent="0.25">
      <c r="A333">
        <v>1332</v>
      </c>
      <c r="B333" s="3">
        <v>45258</v>
      </c>
      <c r="C333" s="3" t="str">
        <f>TEXT(Fruits_Vendor[[#This Row],[Order_Date]],"mmmm")</f>
        <v>November</v>
      </c>
      <c r="D333" s="3" t="str">
        <f>TEXT(Fruits_Vendor[[#This Row],[Order_Date]],"yyyy")</f>
        <v>2023</v>
      </c>
      <c r="E333">
        <v>2954</v>
      </c>
      <c r="F333" t="s">
        <v>16</v>
      </c>
      <c r="G333" t="s">
        <v>21</v>
      </c>
      <c r="H333" t="s">
        <v>29</v>
      </c>
      <c r="I333" t="s">
        <v>33</v>
      </c>
      <c r="J333">
        <v>47</v>
      </c>
      <c r="K333">
        <v>4.5</v>
      </c>
      <c r="L333">
        <v>0.16</v>
      </c>
      <c r="M333" t="s">
        <v>34</v>
      </c>
      <c r="N333" t="s">
        <v>40</v>
      </c>
      <c r="O333">
        <v>1</v>
      </c>
      <c r="P333">
        <v>2.7</v>
      </c>
      <c r="Q333">
        <v>177.66</v>
      </c>
    </row>
    <row r="334" spans="1:17" x14ac:dyDescent="0.25">
      <c r="A334">
        <v>1333</v>
      </c>
      <c r="B334" s="3">
        <v>45259</v>
      </c>
      <c r="C334" s="3" t="str">
        <f>TEXT(Fruits_Vendor[[#This Row],[Order_Date]],"mmmm")</f>
        <v>November</v>
      </c>
      <c r="D334" s="3" t="str">
        <f>TEXT(Fruits_Vendor[[#This Row],[Order_Date]],"yyyy")</f>
        <v>2023</v>
      </c>
      <c r="E334">
        <v>2931</v>
      </c>
      <c r="F334" t="s">
        <v>17</v>
      </c>
      <c r="G334" t="s">
        <v>21</v>
      </c>
      <c r="H334" t="s">
        <v>27</v>
      </c>
      <c r="I334" t="s">
        <v>31</v>
      </c>
      <c r="J334">
        <v>15</v>
      </c>
      <c r="K334">
        <v>2.5299999999999998</v>
      </c>
      <c r="L334">
        <v>0.01</v>
      </c>
      <c r="M334" t="s">
        <v>37</v>
      </c>
      <c r="N334" t="s">
        <v>40</v>
      </c>
      <c r="O334">
        <v>4</v>
      </c>
      <c r="P334">
        <v>2.8</v>
      </c>
      <c r="Q334">
        <v>37.570500000000003</v>
      </c>
    </row>
    <row r="335" spans="1:17" x14ac:dyDescent="0.25">
      <c r="A335">
        <v>1334</v>
      </c>
      <c r="B335" s="3">
        <v>45260</v>
      </c>
      <c r="C335" s="3" t="str">
        <f>TEXT(Fruits_Vendor[[#This Row],[Order_Date]],"mmmm")</f>
        <v>November</v>
      </c>
      <c r="D335" s="3" t="str">
        <f>TEXT(Fruits_Vendor[[#This Row],[Order_Date]],"yyyy")</f>
        <v>2023</v>
      </c>
      <c r="E335">
        <v>2402</v>
      </c>
      <c r="F335" t="s">
        <v>16</v>
      </c>
      <c r="G335" t="s">
        <v>22</v>
      </c>
      <c r="H335" t="s">
        <v>30</v>
      </c>
      <c r="I335" t="s">
        <v>31</v>
      </c>
      <c r="J335">
        <v>6</v>
      </c>
      <c r="K335">
        <v>4.47</v>
      </c>
      <c r="L335">
        <v>0.18</v>
      </c>
      <c r="M335" t="s">
        <v>34</v>
      </c>
      <c r="N335" t="s">
        <v>40</v>
      </c>
      <c r="O335">
        <v>4</v>
      </c>
      <c r="P335">
        <v>2.6</v>
      </c>
      <c r="Q335">
        <v>21.9924</v>
      </c>
    </row>
    <row r="336" spans="1:17" x14ac:dyDescent="0.25">
      <c r="A336">
        <v>1335</v>
      </c>
      <c r="B336" s="3">
        <v>45261</v>
      </c>
      <c r="C336" s="3" t="str">
        <f>TEXT(Fruits_Vendor[[#This Row],[Order_Date]],"mmmm")</f>
        <v>December</v>
      </c>
      <c r="D336" s="3" t="str">
        <f>TEXT(Fruits_Vendor[[#This Row],[Order_Date]],"yyyy")</f>
        <v>2023</v>
      </c>
      <c r="E336">
        <v>2345</v>
      </c>
      <c r="F336" t="s">
        <v>16</v>
      </c>
      <c r="G336" t="s">
        <v>20</v>
      </c>
      <c r="H336" t="s">
        <v>28</v>
      </c>
      <c r="I336" t="s">
        <v>31</v>
      </c>
      <c r="J336">
        <v>44</v>
      </c>
      <c r="K336">
        <v>0.98</v>
      </c>
      <c r="L336">
        <v>0.13</v>
      </c>
      <c r="M336" t="s">
        <v>37</v>
      </c>
      <c r="N336" t="s">
        <v>38</v>
      </c>
      <c r="O336">
        <v>1</v>
      </c>
      <c r="P336">
        <v>4</v>
      </c>
      <c r="Q336">
        <v>37.514399999999988</v>
      </c>
    </row>
    <row r="337" spans="1:17" x14ac:dyDescent="0.25">
      <c r="A337">
        <v>1336</v>
      </c>
      <c r="B337" s="3">
        <v>45262</v>
      </c>
      <c r="C337" s="3" t="str">
        <f>TEXT(Fruits_Vendor[[#This Row],[Order_Date]],"mmmm")</f>
        <v>December</v>
      </c>
      <c r="D337" s="3" t="str">
        <f>TEXT(Fruits_Vendor[[#This Row],[Order_Date]],"yyyy")</f>
        <v>2023</v>
      </c>
      <c r="E337">
        <v>2962</v>
      </c>
      <c r="F337" t="s">
        <v>15</v>
      </c>
      <c r="G337" t="s">
        <v>19</v>
      </c>
      <c r="H337" t="s">
        <v>26</v>
      </c>
      <c r="I337" t="s">
        <v>32</v>
      </c>
      <c r="J337">
        <v>20</v>
      </c>
      <c r="K337">
        <v>4.95</v>
      </c>
      <c r="L337">
        <v>0.17</v>
      </c>
      <c r="M337" t="s">
        <v>36</v>
      </c>
      <c r="N337" t="s">
        <v>39</v>
      </c>
      <c r="O337">
        <v>3</v>
      </c>
      <c r="P337">
        <v>3.6</v>
      </c>
      <c r="Q337">
        <v>82.17</v>
      </c>
    </row>
    <row r="338" spans="1:17" x14ac:dyDescent="0.25">
      <c r="A338">
        <v>1337</v>
      </c>
      <c r="B338" s="3">
        <v>45263</v>
      </c>
      <c r="C338" s="3" t="str">
        <f>TEXT(Fruits_Vendor[[#This Row],[Order_Date]],"mmmm")</f>
        <v>December</v>
      </c>
      <c r="D338" s="3" t="str">
        <f>TEXT(Fruits_Vendor[[#This Row],[Order_Date]],"yyyy")</f>
        <v>2023</v>
      </c>
      <c r="E338">
        <v>2510</v>
      </c>
      <c r="F338" t="s">
        <v>17</v>
      </c>
      <c r="G338" t="s">
        <v>23</v>
      </c>
      <c r="H338" t="s">
        <v>26</v>
      </c>
      <c r="I338" t="s">
        <v>33</v>
      </c>
      <c r="J338">
        <v>14</v>
      </c>
      <c r="K338">
        <v>2.4900000000000002</v>
      </c>
      <c r="L338">
        <v>0</v>
      </c>
      <c r="M338" t="s">
        <v>36</v>
      </c>
      <c r="N338" t="s">
        <v>38</v>
      </c>
      <c r="O338">
        <v>5</v>
      </c>
      <c r="P338">
        <v>3.9</v>
      </c>
      <c r="Q338">
        <v>34.86</v>
      </c>
    </row>
    <row r="339" spans="1:17" x14ac:dyDescent="0.25">
      <c r="A339">
        <v>1338</v>
      </c>
      <c r="B339" s="3">
        <v>45264</v>
      </c>
      <c r="C339" s="3" t="str">
        <f>TEXT(Fruits_Vendor[[#This Row],[Order_Date]],"mmmm")</f>
        <v>December</v>
      </c>
      <c r="D339" s="3" t="str">
        <f>TEXT(Fruits_Vendor[[#This Row],[Order_Date]],"yyyy")</f>
        <v>2023</v>
      </c>
      <c r="E339">
        <v>2146</v>
      </c>
      <c r="F339" t="s">
        <v>18</v>
      </c>
      <c r="G339" t="s">
        <v>23</v>
      </c>
      <c r="H339" t="s">
        <v>28</v>
      </c>
      <c r="I339" t="s">
        <v>31</v>
      </c>
      <c r="J339">
        <v>2</v>
      </c>
      <c r="K339">
        <v>0.72</v>
      </c>
      <c r="L339">
        <v>0.03</v>
      </c>
      <c r="M339" t="s">
        <v>37</v>
      </c>
      <c r="N339" t="s">
        <v>40</v>
      </c>
      <c r="O339">
        <v>5</v>
      </c>
      <c r="P339">
        <v>3.8</v>
      </c>
      <c r="Q339">
        <v>1.3968</v>
      </c>
    </row>
    <row r="340" spans="1:17" x14ac:dyDescent="0.25">
      <c r="A340">
        <v>1339</v>
      </c>
      <c r="B340" s="3">
        <v>45265</v>
      </c>
      <c r="C340" s="3" t="str">
        <f>TEXT(Fruits_Vendor[[#This Row],[Order_Date]],"mmmm")</f>
        <v>December</v>
      </c>
      <c r="D340" s="3" t="str">
        <f>TEXT(Fruits_Vendor[[#This Row],[Order_Date]],"yyyy")</f>
        <v>2023</v>
      </c>
      <c r="E340">
        <v>2147</v>
      </c>
      <c r="F340" t="s">
        <v>15</v>
      </c>
      <c r="G340" t="s">
        <v>24</v>
      </c>
      <c r="H340" t="s">
        <v>27</v>
      </c>
      <c r="I340" t="s">
        <v>33</v>
      </c>
      <c r="J340">
        <v>9</v>
      </c>
      <c r="K340">
        <v>0.67</v>
      </c>
      <c r="L340">
        <v>0.08</v>
      </c>
      <c r="M340" t="s">
        <v>36</v>
      </c>
      <c r="N340" t="s">
        <v>40</v>
      </c>
      <c r="O340">
        <v>6</v>
      </c>
      <c r="P340">
        <v>3.4</v>
      </c>
      <c r="Q340">
        <v>5.5476000000000001</v>
      </c>
    </row>
    <row r="341" spans="1:17" x14ac:dyDescent="0.25">
      <c r="A341">
        <v>1340</v>
      </c>
      <c r="B341" s="3">
        <v>45266</v>
      </c>
      <c r="C341" s="3" t="str">
        <f>TEXT(Fruits_Vendor[[#This Row],[Order_Date]],"mmmm")</f>
        <v>December</v>
      </c>
      <c r="D341" s="3" t="str">
        <f>TEXT(Fruits_Vendor[[#This Row],[Order_Date]],"yyyy")</f>
        <v>2023</v>
      </c>
      <c r="E341">
        <v>2863</v>
      </c>
      <c r="F341" t="s">
        <v>17</v>
      </c>
      <c r="G341" t="s">
        <v>19</v>
      </c>
      <c r="H341" t="s">
        <v>27</v>
      </c>
      <c r="I341" t="s">
        <v>33</v>
      </c>
      <c r="J341">
        <v>37</v>
      </c>
      <c r="K341">
        <v>3.86</v>
      </c>
      <c r="L341">
        <v>0.08</v>
      </c>
      <c r="M341" t="s">
        <v>37</v>
      </c>
      <c r="N341" t="s">
        <v>38</v>
      </c>
      <c r="O341">
        <v>1</v>
      </c>
      <c r="P341">
        <v>4.2</v>
      </c>
      <c r="Q341">
        <v>131.39439999999999</v>
      </c>
    </row>
    <row r="342" spans="1:17" x14ac:dyDescent="0.25">
      <c r="A342">
        <v>1341</v>
      </c>
      <c r="B342" s="3">
        <v>45267</v>
      </c>
      <c r="C342" s="3" t="str">
        <f>TEXT(Fruits_Vendor[[#This Row],[Order_Date]],"mmmm")</f>
        <v>December</v>
      </c>
      <c r="D342" s="3" t="str">
        <f>TEXT(Fruits_Vendor[[#This Row],[Order_Date]],"yyyy")</f>
        <v>2023</v>
      </c>
      <c r="E342">
        <v>2710</v>
      </c>
      <c r="F342" t="s">
        <v>17</v>
      </c>
      <c r="G342" t="s">
        <v>23</v>
      </c>
      <c r="H342" t="s">
        <v>25</v>
      </c>
      <c r="I342" t="s">
        <v>31</v>
      </c>
      <c r="J342">
        <v>20</v>
      </c>
      <c r="K342">
        <v>3.47</v>
      </c>
      <c r="L342">
        <v>0.05</v>
      </c>
      <c r="M342" t="s">
        <v>37</v>
      </c>
      <c r="N342" t="s">
        <v>38</v>
      </c>
      <c r="O342">
        <v>1</v>
      </c>
      <c r="P342">
        <v>4.4000000000000004</v>
      </c>
      <c r="Q342">
        <v>65.930000000000007</v>
      </c>
    </row>
    <row r="343" spans="1:17" x14ac:dyDescent="0.25">
      <c r="A343">
        <v>1342</v>
      </c>
      <c r="B343" s="3">
        <v>45268</v>
      </c>
      <c r="C343" s="3" t="str">
        <f>TEXT(Fruits_Vendor[[#This Row],[Order_Date]],"mmmm")</f>
        <v>December</v>
      </c>
      <c r="D343" s="3" t="str">
        <f>TEXT(Fruits_Vendor[[#This Row],[Order_Date]],"yyyy")</f>
        <v>2023</v>
      </c>
      <c r="E343">
        <v>2819</v>
      </c>
      <c r="F343" t="s">
        <v>17</v>
      </c>
      <c r="G343" t="s">
        <v>24</v>
      </c>
      <c r="H343" t="s">
        <v>26</v>
      </c>
      <c r="I343" t="s">
        <v>31</v>
      </c>
      <c r="J343">
        <v>26</v>
      </c>
      <c r="K343">
        <v>4.1100000000000003</v>
      </c>
      <c r="L343">
        <v>0.08</v>
      </c>
      <c r="M343" t="s">
        <v>36</v>
      </c>
      <c r="N343" t="s">
        <v>40</v>
      </c>
      <c r="O343">
        <v>1</v>
      </c>
      <c r="P343">
        <v>2.5</v>
      </c>
      <c r="Q343">
        <v>98.311200000000014</v>
      </c>
    </row>
    <row r="344" spans="1:17" x14ac:dyDescent="0.25">
      <c r="A344">
        <v>1343</v>
      </c>
      <c r="B344" s="3">
        <v>45269</v>
      </c>
      <c r="C344" s="3" t="str">
        <f>TEXT(Fruits_Vendor[[#This Row],[Order_Date]],"mmmm")</f>
        <v>December</v>
      </c>
      <c r="D344" s="3" t="str">
        <f>TEXT(Fruits_Vendor[[#This Row],[Order_Date]],"yyyy")</f>
        <v>2023</v>
      </c>
      <c r="E344">
        <v>2488</v>
      </c>
      <c r="F344" t="s">
        <v>17</v>
      </c>
      <c r="G344" t="s">
        <v>20</v>
      </c>
      <c r="H344" t="s">
        <v>25</v>
      </c>
      <c r="I344" t="s">
        <v>33</v>
      </c>
      <c r="J344">
        <v>29</v>
      </c>
      <c r="K344">
        <v>0.97</v>
      </c>
      <c r="L344">
        <v>0.03</v>
      </c>
      <c r="M344" t="s">
        <v>35</v>
      </c>
      <c r="N344" t="s">
        <v>40</v>
      </c>
      <c r="O344">
        <v>3</v>
      </c>
      <c r="P344">
        <v>3</v>
      </c>
      <c r="Q344">
        <v>27.286100000000001</v>
      </c>
    </row>
    <row r="345" spans="1:17" x14ac:dyDescent="0.25">
      <c r="A345">
        <v>1344</v>
      </c>
      <c r="B345" s="3">
        <v>45270</v>
      </c>
      <c r="C345" s="3" t="str">
        <f>TEXT(Fruits_Vendor[[#This Row],[Order_Date]],"mmmm")</f>
        <v>December</v>
      </c>
      <c r="D345" s="3" t="str">
        <f>TEXT(Fruits_Vendor[[#This Row],[Order_Date]],"yyyy")</f>
        <v>2023</v>
      </c>
      <c r="E345">
        <v>2928</v>
      </c>
      <c r="F345" t="s">
        <v>17</v>
      </c>
      <c r="G345" t="s">
        <v>24</v>
      </c>
      <c r="H345" t="s">
        <v>26</v>
      </c>
      <c r="I345" t="s">
        <v>31</v>
      </c>
      <c r="J345">
        <v>1</v>
      </c>
      <c r="K345">
        <v>0.66</v>
      </c>
      <c r="L345">
        <v>0.08</v>
      </c>
      <c r="M345" t="s">
        <v>37</v>
      </c>
      <c r="N345" t="s">
        <v>40</v>
      </c>
      <c r="O345">
        <v>4</v>
      </c>
      <c r="P345">
        <v>4.3</v>
      </c>
      <c r="Q345">
        <v>0.60720000000000007</v>
      </c>
    </row>
    <row r="346" spans="1:17" x14ac:dyDescent="0.25">
      <c r="A346">
        <v>1345</v>
      </c>
      <c r="B346" s="3">
        <v>45271</v>
      </c>
      <c r="C346" s="3" t="str">
        <f>TEXT(Fruits_Vendor[[#This Row],[Order_Date]],"mmmm")</f>
        <v>December</v>
      </c>
      <c r="D346" s="3" t="str">
        <f>TEXT(Fruits_Vendor[[#This Row],[Order_Date]],"yyyy")</f>
        <v>2023</v>
      </c>
      <c r="E346">
        <v>2935</v>
      </c>
      <c r="F346" t="s">
        <v>16</v>
      </c>
      <c r="G346" t="s">
        <v>23</v>
      </c>
      <c r="H346" t="s">
        <v>30</v>
      </c>
      <c r="I346" t="s">
        <v>31</v>
      </c>
      <c r="J346">
        <v>35</v>
      </c>
      <c r="K346">
        <v>2.79</v>
      </c>
      <c r="L346">
        <v>0.16</v>
      </c>
      <c r="M346" t="s">
        <v>34</v>
      </c>
      <c r="N346" t="s">
        <v>38</v>
      </c>
      <c r="O346">
        <v>1</v>
      </c>
      <c r="P346">
        <v>3.5</v>
      </c>
      <c r="Q346">
        <v>82.025999999999996</v>
      </c>
    </row>
    <row r="347" spans="1:17" x14ac:dyDescent="0.25">
      <c r="A347">
        <v>1346</v>
      </c>
      <c r="B347" s="3">
        <v>45272</v>
      </c>
      <c r="C347" s="3" t="str">
        <f>TEXT(Fruits_Vendor[[#This Row],[Order_Date]],"mmmm")</f>
        <v>December</v>
      </c>
      <c r="D347" s="3" t="str">
        <f>TEXT(Fruits_Vendor[[#This Row],[Order_Date]],"yyyy")</f>
        <v>2023</v>
      </c>
      <c r="E347">
        <v>2639</v>
      </c>
      <c r="F347" t="s">
        <v>15</v>
      </c>
      <c r="G347" t="s">
        <v>22</v>
      </c>
      <c r="H347" t="s">
        <v>30</v>
      </c>
      <c r="I347" t="s">
        <v>31</v>
      </c>
      <c r="J347">
        <v>6</v>
      </c>
      <c r="K347">
        <v>2.2400000000000002</v>
      </c>
      <c r="L347">
        <v>0.1</v>
      </c>
      <c r="M347" t="s">
        <v>34</v>
      </c>
      <c r="N347" t="s">
        <v>40</v>
      </c>
      <c r="O347">
        <v>1</v>
      </c>
      <c r="P347">
        <v>4.2</v>
      </c>
      <c r="Q347">
        <v>12.096</v>
      </c>
    </row>
    <row r="348" spans="1:17" x14ac:dyDescent="0.25">
      <c r="A348">
        <v>1347</v>
      </c>
      <c r="B348" s="3">
        <v>45273</v>
      </c>
      <c r="C348" s="3" t="str">
        <f>TEXT(Fruits_Vendor[[#This Row],[Order_Date]],"mmmm")</f>
        <v>December</v>
      </c>
      <c r="D348" s="3" t="str">
        <f>TEXT(Fruits_Vendor[[#This Row],[Order_Date]],"yyyy")</f>
        <v>2023</v>
      </c>
      <c r="E348">
        <v>2550</v>
      </c>
      <c r="F348" t="s">
        <v>16</v>
      </c>
      <c r="G348" t="s">
        <v>22</v>
      </c>
      <c r="H348" t="s">
        <v>29</v>
      </c>
      <c r="I348" t="s">
        <v>32</v>
      </c>
      <c r="J348">
        <v>37</v>
      </c>
      <c r="K348">
        <v>2.58</v>
      </c>
      <c r="L348">
        <v>0</v>
      </c>
      <c r="M348" t="s">
        <v>36</v>
      </c>
      <c r="N348" t="s">
        <v>40</v>
      </c>
      <c r="O348">
        <v>2</v>
      </c>
      <c r="P348">
        <v>3.4</v>
      </c>
      <c r="Q348">
        <v>95.460000000000008</v>
      </c>
    </row>
    <row r="349" spans="1:17" x14ac:dyDescent="0.25">
      <c r="A349">
        <v>1348</v>
      </c>
      <c r="B349" s="3">
        <v>45274</v>
      </c>
      <c r="C349" s="3" t="str">
        <f>TEXT(Fruits_Vendor[[#This Row],[Order_Date]],"mmmm")</f>
        <v>December</v>
      </c>
      <c r="D349" s="3" t="str">
        <f>TEXT(Fruits_Vendor[[#This Row],[Order_Date]],"yyyy")</f>
        <v>2023</v>
      </c>
      <c r="E349">
        <v>2337</v>
      </c>
      <c r="F349" t="s">
        <v>18</v>
      </c>
      <c r="G349" t="s">
        <v>22</v>
      </c>
      <c r="H349" t="s">
        <v>25</v>
      </c>
      <c r="I349" t="s">
        <v>33</v>
      </c>
      <c r="J349">
        <v>5</v>
      </c>
      <c r="K349">
        <v>4.96</v>
      </c>
      <c r="L349">
        <v>0.08</v>
      </c>
      <c r="M349" t="s">
        <v>35</v>
      </c>
      <c r="N349" t="s">
        <v>39</v>
      </c>
      <c r="O349">
        <v>3</v>
      </c>
      <c r="P349">
        <v>3.5</v>
      </c>
      <c r="Q349">
        <v>22.815999999999999</v>
      </c>
    </row>
    <row r="350" spans="1:17" x14ac:dyDescent="0.25">
      <c r="A350">
        <v>1349</v>
      </c>
      <c r="B350" s="3">
        <v>45275</v>
      </c>
      <c r="C350" s="3" t="str">
        <f>TEXT(Fruits_Vendor[[#This Row],[Order_Date]],"mmmm")</f>
        <v>December</v>
      </c>
      <c r="D350" s="3" t="str">
        <f>TEXT(Fruits_Vendor[[#This Row],[Order_Date]],"yyyy")</f>
        <v>2023</v>
      </c>
      <c r="E350">
        <v>2871</v>
      </c>
      <c r="F350" t="s">
        <v>17</v>
      </c>
      <c r="G350" t="s">
        <v>23</v>
      </c>
      <c r="H350" t="s">
        <v>28</v>
      </c>
      <c r="I350" t="s">
        <v>33</v>
      </c>
      <c r="J350">
        <v>33</v>
      </c>
      <c r="K350">
        <v>4.87</v>
      </c>
      <c r="L350">
        <v>0.01</v>
      </c>
      <c r="M350" t="s">
        <v>36</v>
      </c>
      <c r="N350" t="s">
        <v>38</v>
      </c>
      <c r="O350">
        <v>6</v>
      </c>
      <c r="P350">
        <v>2.9</v>
      </c>
      <c r="Q350">
        <v>159.10290000000001</v>
      </c>
    </row>
    <row r="351" spans="1:17" x14ac:dyDescent="0.25">
      <c r="A351">
        <v>1350</v>
      </c>
      <c r="B351" s="3">
        <v>45276</v>
      </c>
      <c r="C351" s="3" t="str">
        <f>TEXT(Fruits_Vendor[[#This Row],[Order_Date]],"mmmm")</f>
        <v>December</v>
      </c>
      <c r="D351" s="3" t="str">
        <f>TEXT(Fruits_Vendor[[#This Row],[Order_Date]],"yyyy")</f>
        <v>2023</v>
      </c>
      <c r="E351">
        <v>2640</v>
      </c>
      <c r="F351" t="s">
        <v>15</v>
      </c>
      <c r="G351" t="s">
        <v>22</v>
      </c>
      <c r="H351" t="s">
        <v>25</v>
      </c>
      <c r="I351" t="s">
        <v>32</v>
      </c>
      <c r="J351">
        <v>49</v>
      </c>
      <c r="K351">
        <v>4.74</v>
      </c>
      <c r="L351">
        <v>0.19</v>
      </c>
      <c r="M351" t="s">
        <v>35</v>
      </c>
      <c r="N351" t="s">
        <v>39</v>
      </c>
      <c r="O351">
        <v>1</v>
      </c>
      <c r="P351">
        <v>3.1</v>
      </c>
      <c r="Q351">
        <v>188.13059999999999</v>
      </c>
    </row>
    <row r="352" spans="1:17" x14ac:dyDescent="0.25">
      <c r="A352">
        <v>1351</v>
      </c>
      <c r="B352" s="3">
        <v>45277</v>
      </c>
      <c r="C352" s="3" t="str">
        <f>TEXT(Fruits_Vendor[[#This Row],[Order_Date]],"mmmm")</f>
        <v>December</v>
      </c>
      <c r="D352" s="3" t="str">
        <f>TEXT(Fruits_Vendor[[#This Row],[Order_Date]],"yyyy")</f>
        <v>2023</v>
      </c>
      <c r="E352">
        <v>2778</v>
      </c>
      <c r="F352" t="s">
        <v>17</v>
      </c>
      <c r="G352" t="s">
        <v>19</v>
      </c>
      <c r="H352" t="s">
        <v>28</v>
      </c>
      <c r="I352" t="s">
        <v>33</v>
      </c>
      <c r="J352">
        <v>14</v>
      </c>
      <c r="K352">
        <v>4.03</v>
      </c>
      <c r="L352">
        <v>0.03</v>
      </c>
      <c r="M352" t="s">
        <v>37</v>
      </c>
      <c r="N352" t="s">
        <v>39</v>
      </c>
      <c r="O352">
        <v>2</v>
      </c>
      <c r="P352">
        <v>4</v>
      </c>
      <c r="Q352">
        <v>54.727400000000003</v>
      </c>
    </row>
    <row r="353" spans="1:17" x14ac:dyDescent="0.25">
      <c r="A353">
        <v>1352</v>
      </c>
      <c r="B353" s="3">
        <v>45278</v>
      </c>
      <c r="C353" s="3" t="str">
        <f>TEXT(Fruits_Vendor[[#This Row],[Order_Date]],"mmmm")</f>
        <v>December</v>
      </c>
      <c r="D353" s="3" t="str">
        <f>TEXT(Fruits_Vendor[[#This Row],[Order_Date]],"yyyy")</f>
        <v>2023</v>
      </c>
      <c r="E353">
        <v>2987</v>
      </c>
      <c r="F353" t="s">
        <v>15</v>
      </c>
      <c r="G353" t="s">
        <v>20</v>
      </c>
      <c r="H353" t="s">
        <v>27</v>
      </c>
      <c r="I353" t="s">
        <v>31</v>
      </c>
      <c r="J353">
        <v>12</v>
      </c>
      <c r="K353">
        <v>2.1</v>
      </c>
      <c r="L353">
        <v>0.14000000000000001</v>
      </c>
      <c r="M353" t="s">
        <v>37</v>
      </c>
      <c r="N353" t="s">
        <v>40</v>
      </c>
      <c r="O353">
        <v>5</v>
      </c>
      <c r="P353">
        <v>3.6</v>
      </c>
      <c r="Q353">
        <v>21.672000000000001</v>
      </c>
    </row>
    <row r="354" spans="1:17" x14ac:dyDescent="0.25">
      <c r="A354">
        <v>1353</v>
      </c>
      <c r="B354" s="3">
        <v>45279</v>
      </c>
      <c r="C354" s="3" t="str">
        <f>TEXT(Fruits_Vendor[[#This Row],[Order_Date]],"mmmm")</f>
        <v>December</v>
      </c>
      <c r="D354" s="3" t="str">
        <f>TEXT(Fruits_Vendor[[#This Row],[Order_Date]],"yyyy")</f>
        <v>2023</v>
      </c>
      <c r="E354">
        <v>2952</v>
      </c>
      <c r="F354" t="s">
        <v>16</v>
      </c>
      <c r="G354" t="s">
        <v>24</v>
      </c>
      <c r="H354" t="s">
        <v>25</v>
      </c>
      <c r="I354" t="s">
        <v>33</v>
      </c>
      <c r="J354">
        <v>42</v>
      </c>
      <c r="K354">
        <v>2.35</v>
      </c>
      <c r="L354">
        <v>0.19</v>
      </c>
      <c r="M354" t="s">
        <v>37</v>
      </c>
      <c r="N354" t="s">
        <v>38</v>
      </c>
      <c r="O354">
        <v>6</v>
      </c>
      <c r="P354">
        <v>4.4000000000000004</v>
      </c>
      <c r="Q354">
        <v>79.947000000000003</v>
      </c>
    </row>
    <row r="355" spans="1:17" x14ac:dyDescent="0.25">
      <c r="A355">
        <v>1354</v>
      </c>
      <c r="B355" s="3">
        <v>45280</v>
      </c>
      <c r="C355" s="3" t="str">
        <f>TEXT(Fruits_Vendor[[#This Row],[Order_Date]],"mmmm")</f>
        <v>December</v>
      </c>
      <c r="D355" s="3" t="str">
        <f>TEXT(Fruits_Vendor[[#This Row],[Order_Date]],"yyyy")</f>
        <v>2023</v>
      </c>
      <c r="E355">
        <v>2472</v>
      </c>
      <c r="F355" t="s">
        <v>15</v>
      </c>
      <c r="G355" t="s">
        <v>24</v>
      </c>
      <c r="H355" t="s">
        <v>27</v>
      </c>
      <c r="I355" t="s">
        <v>31</v>
      </c>
      <c r="J355">
        <v>20</v>
      </c>
      <c r="K355">
        <v>2.97</v>
      </c>
      <c r="L355">
        <v>0.17</v>
      </c>
      <c r="M355" t="s">
        <v>37</v>
      </c>
      <c r="N355" t="s">
        <v>40</v>
      </c>
      <c r="O355">
        <v>1</v>
      </c>
      <c r="P355">
        <v>4.5999999999999996</v>
      </c>
      <c r="Q355">
        <v>49.302</v>
      </c>
    </row>
    <row r="356" spans="1:17" x14ac:dyDescent="0.25">
      <c r="A356">
        <v>1355</v>
      </c>
      <c r="B356" s="3">
        <v>45281</v>
      </c>
      <c r="C356" s="3" t="str">
        <f>TEXT(Fruits_Vendor[[#This Row],[Order_Date]],"mmmm")</f>
        <v>December</v>
      </c>
      <c r="D356" s="3" t="str">
        <f>TEXT(Fruits_Vendor[[#This Row],[Order_Date]],"yyyy")</f>
        <v>2023</v>
      </c>
      <c r="E356">
        <v>2945</v>
      </c>
      <c r="F356" t="s">
        <v>18</v>
      </c>
      <c r="G356" t="s">
        <v>23</v>
      </c>
      <c r="H356" t="s">
        <v>30</v>
      </c>
      <c r="I356" t="s">
        <v>32</v>
      </c>
      <c r="J356">
        <v>24</v>
      </c>
      <c r="K356">
        <v>4.24</v>
      </c>
      <c r="L356">
        <v>0.14000000000000001</v>
      </c>
      <c r="M356" t="s">
        <v>34</v>
      </c>
      <c r="N356" t="s">
        <v>38</v>
      </c>
      <c r="O356">
        <v>1</v>
      </c>
      <c r="P356">
        <v>3.9</v>
      </c>
      <c r="Q356">
        <v>87.513599999999997</v>
      </c>
    </row>
    <row r="357" spans="1:17" x14ac:dyDescent="0.25">
      <c r="A357">
        <v>1356</v>
      </c>
      <c r="B357" s="3">
        <v>45282</v>
      </c>
      <c r="C357" s="3" t="str">
        <f>TEXT(Fruits_Vendor[[#This Row],[Order_Date]],"mmmm")</f>
        <v>December</v>
      </c>
      <c r="D357" s="3" t="str">
        <f>TEXT(Fruits_Vendor[[#This Row],[Order_Date]],"yyyy")</f>
        <v>2023</v>
      </c>
      <c r="E357">
        <v>2150</v>
      </c>
      <c r="F357" t="s">
        <v>18</v>
      </c>
      <c r="G357" t="s">
        <v>22</v>
      </c>
      <c r="H357" t="s">
        <v>30</v>
      </c>
      <c r="I357" t="s">
        <v>31</v>
      </c>
      <c r="J357">
        <v>43</v>
      </c>
      <c r="K357">
        <v>0.81</v>
      </c>
      <c r="L357">
        <v>0.17</v>
      </c>
      <c r="M357" t="s">
        <v>34</v>
      </c>
      <c r="N357" t="s">
        <v>39</v>
      </c>
      <c r="O357">
        <v>2</v>
      </c>
      <c r="P357">
        <v>4.4000000000000004</v>
      </c>
      <c r="Q357">
        <v>28.908899999999999</v>
      </c>
    </row>
    <row r="358" spans="1:17" x14ac:dyDescent="0.25">
      <c r="A358">
        <v>1357</v>
      </c>
      <c r="B358" s="3">
        <v>45283</v>
      </c>
      <c r="C358" s="3" t="str">
        <f>TEXT(Fruits_Vendor[[#This Row],[Order_Date]],"mmmm")</f>
        <v>December</v>
      </c>
      <c r="D358" s="3" t="str">
        <f>TEXT(Fruits_Vendor[[#This Row],[Order_Date]],"yyyy")</f>
        <v>2023</v>
      </c>
      <c r="E358">
        <v>2414</v>
      </c>
      <c r="F358" t="s">
        <v>15</v>
      </c>
      <c r="G358" t="s">
        <v>22</v>
      </c>
      <c r="H358" t="s">
        <v>29</v>
      </c>
      <c r="I358" t="s">
        <v>33</v>
      </c>
      <c r="J358">
        <v>34</v>
      </c>
      <c r="K358">
        <v>2.41</v>
      </c>
      <c r="L358">
        <v>0.2</v>
      </c>
      <c r="M358" t="s">
        <v>36</v>
      </c>
      <c r="N358" t="s">
        <v>38</v>
      </c>
      <c r="O358">
        <v>3</v>
      </c>
      <c r="P358">
        <v>3.3</v>
      </c>
      <c r="Q358">
        <v>65.552000000000007</v>
      </c>
    </row>
    <row r="359" spans="1:17" x14ac:dyDescent="0.25">
      <c r="A359">
        <v>1358</v>
      </c>
      <c r="B359" s="3">
        <v>45284</v>
      </c>
      <c r="C359" s="3" t="str">
        <f>TEXT(Fruits_Vendor[[#This Row],[Order_Date]],"mmmm")</f>
        <v>December</v>
      </c>
      <c r="D359" s="3" t="str">
        <f>TEXT(Fruits_Vendor[[#This Row],[Order_Date]],"yyyy")</f>
        <v>2023</v>
      </c>
      <c r="E359">
        <v>2989</v>
      </c>
      <c r="F359" t="s">
        <v>15</v>
      </c>
      <c r="G359" t="s">
        <v>21</v>
      </c>
      <c r="H359" t="s">
        <v>25</v>
      </c>
      <c r="I359" t="s">
        <v>33</v>
      </c>
      <c r="J359">
        <v>25</v>
      </c>
      <c r="K359">
        <v>0.87</v>
      </c>
      <c r="L359">
        <v>0.12</v>
      </c>
      <c r="M359" t="s">
        <v>35</v>
      </c>
      <c r="N359" t="s">
        <v>40</v>
      </c>
      <c r="O359">
        <v>1</v>
      </c>
      <c r="P359">
        <v>3.5</v>
      </c>
      <c r="Q359">
        <v>19.14</v>
      </c>
    </row>
    <row r="360" spans="1:17" x14ac:dyDescent="0.25">
      <c r="A360">
        <v>1359</v>
      </c>
      <c r="B360" s="3">
        <v>45285</v>
      </c>
      <c r="C360" s="3" t="str">
        <f>TEXT(Fruits_Vendor[[#This Row],[Order_Date]],"mmmm")</f>
        <v>December</v>
      </c>
      <c r="D360" s="3" t="str">
        <f>TEXT(Fruits_Vendor[[#This Row],[Order_Date]],"yyyy")</f>
        <v>2023</v>
      </c>
      <c r="E360">
        <v>2297</v>
      </c>
      <c r="F360" t="s">
        <v>15</v>
      </c>
      <c r="G360" t="s">
        <v>20</v>
      </c>
      <c r="H360" t="s">
        <v>27</v>
      </c>
      <c r="I360" t="s">
        <v>33</v>
      </c>
      <c r="J360">
        <v>29</v>
      </c>
      <c r="K360">
        <v>2.82</v>
      </c>
      <c r="L360">
        <v>0.11</v>
      </c>
      <c r="M360" t="s">
        <v>37</v>
      </c>
      <c r="N360" t="s">
        <v>40</v>
      </c>
      <c r="O360">
        <v>5</v>
      </c>
      <c r="P360">
        <v>4.3</v>
      </c>
      <c r="Q360">
        <v>72.784199999999998</v>
      </c>
    </row>
    <row r="361" spans="1:17" x14ac:dyDescent="0.25">
      <c r="A361">
        <v>1360</v>
      </c>
      <c r="B361" s="3">
        <v>45286</v>
      </c>
      <c r="C361" s="3" t="str">
        <f>TEXT(Fruits_Vendor[[#This Row],[Order_Date]],"mmmm")</f>
        <v>December</v>
      </c>
      <c r="D361" s="3" t="str">
        <f>TEXT(Fruits_Vendor[[#This Row],[Order_Date]],"yyyy")</f>
        <v>2023</v>
      </c>
      <c r="E361">
        <v>2610</v>
      </c>
      <c r="F361" t="s">
        <v>15</v>
      </c>
      <c r="G361" t="s">
        <v>19</v>
      </c>
      <c r="H361" t="s">
        <v>28</v>
      </c>
      <c r="I361" t="s">
        <v>32</v>
      </c>
      <c r="J361">
        <v>39</v>
      </c>
      <c r="K361">
        <v>4.55</v>
      </c>
      <c r="L361">
        <v>0.13</v>
      </c>
      <c r="M361" t="s">
        <v>37</v>
      </c>
      <c r="N361" t="s">
        <v>40</v>
      </c>
      <c r="O361">
        <v>1</v>
      </c>
      <c r="P361">
        <v>3.5</v>
      </c>
      <c r="Q361">
        <v>154.38149999999999</v>
      </c>
    </row>
    <row r="362" spans="1:17" x14ac:dyDescent="0.25">
      <c r="A362">
        <v>1361</v>
      </c>
      <c r="B362" s="3">
        <v>45287</v>
      </c>
      <c r="C362" s="3" t="str">
        <f>TEXT(Fruits_Vendor[[#This Row],[Order_Date]],"mmmm")</f>
        <v>December</v>
      </c>
      <c r="D362" s="3" t="str">
        <f>TEXT(Fruits_Vendor[[#This Row],[Order_Date]],"yyyy")</f>
        <v>2023</v>
      </c>
      <c r="E362">
        <v>2262</v>
      </c>
      <c r="F362" t="s">
        <v>18</v>
      </c>
      <c r="G362" t="s">
        <v>24</v>
      </c>
      <c r="H362" t="s">
        <v>30</v>
      </c>
      <c r="I362" t="s">
        <v>32</v>
      </c>
      <c r="J362">
        <v>31</v>
      </c>
      <c r="K362">
        <v>4.0199999999999996</v>
      </c>
      <c r="L362">
        <v>0.11</v>
      </c>
      <c r="M362" t="s">
        <v>35</v>
      </c>
      <c r="N362" t="s">
        <v>38</v>
      </c>
      <c r="O362">
        <v>5</v>
      </c>
      <c r="P362">
        <v>4</v>
      </c>
      <c r="Q362">
        <v>110.9118</v>
      </c>
    </row>
    <row r="363" spans="1:17" x14ac:dyDescent="0.25">
      <c r="A363">
        <v>1362</v>
      </c>
      <c r="B363" s="3">
        <v>45288</v>
      </c>
      <c r="C363" s="3" t="str">
        <f>TEXT(Fruits_Vendor[[#This Row],[Order_Date]],"mmmm")</f>
        <v>December</v>
      </c>
      <c r="D363" s="3" t="str">
        <f>TEXT(Fruits_Vendor[[#This Row],[Order_Date]],"yyyy")</f>
        <v>2023</v>
      </c>
      <c r="E363">
        <v>2763</v>
      </c>
      <c r="F363" t="s">
        <v>17</v>
      </c>
      <c r="G363" t="s">
        <v>21</v>
      </c>
      <c r="H363" t="s">
        <v>30</v>
      </c>
      <c r="I363" t="s">
        <v>33</v>
      </c>
      <c r="J363">
        <v>47</v>
      </c>
      <c r="K363">
        <v>1.53</v>
      </c>
      <c r="L363">
        <v>0.13</v>
      </c>
      <c r="M363" t="s">
        <v>35</v>
      </c>
      <c r="N363" t="s">
        <v>39</v>
      </c>
      <c r="O363">
        <v>6</v>
      </c>
      <c r="P363">
        <v>3</v>
      </c>
      <c r="Q363">
        <v>62.561699999999988</v>
      </c>
    </row>
    <row r="364" spans="1:17" x14ac:dyDescent="0.25">
      <c r="A364">
        <v>1363</v>
      </c>
      <c r="B364" s="3">
        <v>45289</v>
      </c>
      <c r="C364" s="3" t="str">
        <f>TEXT(Fruits_Vendor[[#This Row],[Order_Date]],"mmmm")</f>
        <v>December</v>
      </c>
      <c r="D364" s="3" t="str">
        <f>TEXT(Fruits_Vendor[[#This Row],[Order_Date]],"yyyy")</f>
        <v>2023</v>
      </c>
      <c r="E364">
        <v>2143</v>
      </c>
      <c r="F364" t="s">
        <v>15</v>
      </c>
      <c r="G364" t="s">
        <v>21</v>
      </c>
      <c r="H364" t="s">
        <v>28</v>
      </c>
      <c r="I364" t="s">
        <v>31</v>
      </c>
      <c r="J364">
        <v>43</v>
      </c>
      <c r="K364">
        <v>4.8899999999999997</v>
      </c>
      <c r="L364">
        <v>0.09</v>
      </c>
      <c r="M364" t="s">
        <v>36</v>
      </c>
      <c r="N364" t="s">
        <v>39</v>
      </c>
      <c r="O364">
        <v>6</v>
      </c>
      <c r="P364">
        <v>4</v>
      </c>
      <c r="Q364">
        <v>191.34569999999999</v>
      </c>
    </row>
    <row r="365" spans="1:17" x14ac:dyDescent="0.25">
      <c r="A365">
        <v>1364</v>
      </c>
      <c r="B365" s="3">
        <v>45290</v>
      </c>
      <c r="C365" s="3" t="str">
        <f>TEXT(Fruits_Vendor[[#This Row],[Order_Date]],"mmmm")</f>
        <v>December</v>
      </c>
      <c r="D365" s="3" t="str">
        <f>TEXT(Fruits_Vendor[[#This Row],[Order_Date]],"yyyy")</f>
        <v>2023</v>
      </c>
      <c r="E365">
        <v>2345</v>
      </c>
      <c r="F365" t="s">
        <v>15</v>
      </c>
      <c r="G365" t="s">
        <v>23</v>
      </c>
      <c r="H365" t="s">
        <v>27</v>
      </c>
      <c r="I365" t="s">
        <v>32</v>
      </c>
      <c r="J365">
        <v>23</v>
      </c>
      <c r="K365">
        <v>3.5</v>
      </c>
      <c r="L365">
        <v>0.04</v>
      </c>
      <c r="M365" t="s">
        <v>35</v>
      </c>
      <c r="N365" t="s">
        <v>38</v>
      </c>
      <c r="O365">
        <v>4</v>
      </c>
      <c r="P365">
        <v>4.7</v>
      </c>
      <c r="Q365">
        <v>77.28</v>
      </c>
    </row>
    <row r="366" spans="1:17" x14ac:dyDescent="0.25">
      <c r="A366">
        <v>1365</v>
      </c>
      <c r="B366" s="3">
        <v>45291</v>
      </c>
      <c r="C366" s="3" t="str">
        <f>TEXT(Fruits_Vendor[[#This Row],[Order_Date]],"mmmm")</f>
        <v>December</v>
      </c>
      <c r="D366" s="3" t="str">
        <f>TEXT(Fruits_Vendor[[#This Row],[Order_Date]],"yyyy")</f>
        <v>2023</v>
      </c>
      <c r="E366">
        <v>2623</v>
      </c>
      <c r="F366" t="s">
        <v>18</v>
      </c>
      <c r="G366" t="s">
        <v>24</v>
      </c>
      <c r="H366" t="s">
        <v>27</v>
      </c>
      <c r="I366" t="s">
        <v>33</v>
      </c>
      <c r="J366">
        <v>44</v>
      </c>
      <c r="K366">
        <v>0.55000000000000004</v>
      </c>
      <c r="L366">
        <v>0.02</v>
      </c>
      <c r="M366" t="s">
        <v>37</v>
      </c>
      <c r="N366" t="s">
        <v>40</v>
      </c>
      <c r="O366">
        <v>4</v>
      </c>
      <c r="P366">
        <v>4.7</v>
      </c>
      <c r="Q366">
        <v>23.716000000000001</v>
      </c>
    </row>
    <row r="367" spans="1:17" x14ac:dyDescent="0.25">
      <c r="A367">
        <v>1366</v>
      </c>
      <c r="B367" s="3">
        <v>45292</v>
      </c>
      <c r="C367" s="3" t="str">
        <f>TEXT(Fruits_Vendor[[#This Row],[Order_Date]],"mmmm")</f>
        <v>January</v>
      </c>
      <c r="D367" s="3" t="str">
        <f>TEXT(Fruits_Vendor[[#This Row],[Order_Date]],"yyyy")</f>
        <v>2024</v>
      </c>
      <c r="E367">
        <v>2571</v>
      </c>
      <c r="F367" t="s">
        <v>18</v>
      </c>
      <c r="G367" t="s">
        <v>23</v>
      </c>
      <c r="H367" t="s">
        <v>25</v>
      </c>
      <c r="I367" t="s">
        <v>33</v>
      </c>
      <c r="J367">
        <v>38</v>
      </c>
      <c r="K367">
        <v>1.65</v>
      </c>
      <c r="L367">
        <v>0.01</v>
      </c>
      <c r="M367" t="s">
        <v>37</v>
      </c>
      <c r="N367" t="s">
        <v>39</v>
      </c>
      <c r="O367">
        <v>5</v>
      </c>
      <c r="P367">
        <v>4.3</v>
      </c>
      <c r="Q367">
        <v>62.072999999999993</v>
      </c>
    </row>
    <row r="368" spans="1:17" x14ac:dyDescent="0.25">
      <c r="A368">
        <v>1367</v>
      </c>
      <c r="B368" s="3">
        <v>45293</v>
      </c>
      <c r="C368" s="3" t="str">
        <f>TEXT(Fruits_Vendor[[#This Row],[Order_Date]],"mmmm")</f>
        <v>January</v>
      </c>
      <c r="D368" s="3" t="str">
        <f>TEXT(Fruits_Vendor[[#This Row],[Order_Date]],"yyyy")</f>
        <v>2024</v>
      </c>
      <c r="E368">
        <v>2880</v>
      </c>
      <c r="F368" t="s">
        <v>16</v>
      </c>
      <c r="G368" t="s">
        <v>19</v>
      </c>
      <c r="H368" t="s">
        <v>25</v>
      </c>
      <c r="I368" t="s">
        <v>32</v>
      </c>
      <c r="J368">
        <v>20</v>
      </c>
      <c r="K368">
        <v>1.67</v>
      </c>
      <c r="L368">
        <v>0.05</v>
      </c>
      <c r="M368" t="s">
        <v>37</v>
      </c>
      <c r="N368" t="s">
        <v>40</v>
      </c>
      <c r="O368">
        <v>3</v>
      </c>
      <c r="P368">
        <v>4.4000000000000004</v>
      </c>
      <c r="Q368">
        <v>31.73</v>
      </c>
    </row>
    <row r="369" spans="1:17" x14ac:dyDescent="0.25">
      <c r="A369">
        <v>1368</v>
      </c>
      <c r="B369" s="3">
        <v>45294</v>
      </c>
      <c r="C369" s="3" t="str">
        <f>TEXT(Fruits_Vendor[[#This Row],[Order_Date]],"mmmm")</f>
        <v>January</v>
      </c>
      <c r="D369" s="3" t="str">
        <f>TEXT(Fruits_Vendor[[#This Row],[Order_Date]],"yyyy")</f>
        <v>2024</v>
      </c>
      <c r="E369">
        <v>2001</v>
      </c>
      <c r="F369" t="s">
        <v>15</v>
      </c>
      <c r="G369" t="s">
        <v>21</v>
      </c>
      <c r="H369" t="s">
        <v>26</v>
      </c>
      <c r="I369" t="s">
        <v>32</v>
      </c>
      <c r="J369">
        <v>23</v>
      </c>
      <c r="K369">
        <v>0.81</v>
      </c>
      <c r="L369">
        <v>0.01</v>
      </c>
      <c r="M369" t="s">
        <v>37</v>
      </c>
      <c r="N369" t="s">
        <v>38</v>
      </c>
      <c r="O369">
        <v>1</v>
      </c>
      <c r="P369">
        <v>3.9</v>
      </c>
      <c r="Q369">
        <v>18.4437</v>
      </c>
    </row>
    <row r="370" spans="1:17" x14ac:dyDescent="0.25">
      <c r="A370">
        <v>1369</v>
      </c>
      <c r="B370" s="3">
        <v>45295</v>
      </c>
      <c r="C370" s="3" t="str">
        <f>TEXT(Fruits_Vendor[[#This Row],[Order_Date]],"mmmm")</f>
        <v>January</v>
      </c>
      <c r="D370" s="3" t="str">
        <f>TEXT(Fruits_Vendor[[#This Row],[Order_Date]],"yyyy")</f>
        <v>2024</v>
      </c>
      <c r="E370">
        <v>2896</v>
      </c>
      <c r="F370" t="s">
        <v>16</v>
      </c>
      <c r="G370" t="s">
        <v>21</v>
      </c>
      <c r="H370" t="s">
        <v>26</v>
      </c>
      <c r="I370" t="s">
        <v>32</v>
      </c>
      <c r="J370">
        <v>45</v>
      </c>
      <c r="K370">
        <v>4.82</v>
      </c>
      <c r="L370">
        <v>0.11</v>
      </c>
      <c r="M370" t="s">
        <v>37</v>
      </c>
      <c r="N370" t="s">
        <v>40</v>
      </c>
      <c r="O370">
        <v>1</v>
      </c>
      <c r="P370">
        <v>4</v>
      </c>
      <c r="Q370">
        <v>193.041</v>
      </c>
    </row>
    <row r="371" spans="1:17" x14ac:dyDescent="0.25">
      <c r="A371">
        <v>1370</v>
      </c>
      <c r="B371" s="3">
        <v>45296</v>
      </c>
      <c r="C371" s="3" t="str">
        <f>TEXT(Fruits_Vendor[[#This Row],[Order_Date]],"mmmm")</f>
        <v>January</v>
      </c>
      <c r="D371" s="3" t="str">
        <f>TEXT(Fruits_Vendor[[#This Row],[Order_Date]],"yyyy")</f>
        <v>2024</v>
      </c>
      <c r="E371">
        <v>2303</v>
      </c>
      <c r="F371" t="s">
        <v>18</v>
      </c>
      <c r="G371" t="s">
        <v>20</v>
      </c>
      <c r="H371" t="s">
        <v>29</v>
      </c>
      <c r="I371" t="s">
        <v>31</v>
      </c>
      <c r="J371">
        <v>16</v>
      </c>
      <c r="K371">
        <v>2.65</v>
      </c>
      <c r="L371">
        <v>0.06</v>
      </c>
      <c r="M371" t="s">
        <v>36</v>
      </c>
      <c r="N371" t="s">
        <v>39</v>
      </c>
      <c r="O371">
        <v>4</v>
      </c>
      <c r="P371">
        <v>2.8</v>
      </c>
      <c r="Q371">
        <v>39.855999999999987</v>
      </c>
    </row>
    <row r="372" spans="1:17" x14ac:dyDescent="0.25">
      <c r="A372">
        <v>1371</v>
      </c>
      <c r="B372" s="3">
        <v>45297</v>
      </c>
      <c r="C372" s="3" t="str">
        <f>TEXT(Fruits_Vendor[[#This Row],[Order_Date]],"mmmm")</f>
        <v>January</v>
      </c>
      <c r="D372" s="3" t="str">
        <f>TEXT(Fruits_Vendor[[#This Row],[Order_Date]],"yyyy")</f>
        <v>2024</v>
      </c>
      <c r="E372">
        <v>2253</v>
      </c>
      <c r="F372" t="s">
        <v>18</v>
      </c>
      <c r="G372" t="s">
        <v>19</v>
      </c>
      <c r="H372" t="s">
        <v>30</v>
      </c>
      <c r="I372" t="s">
        <v>31</v>
      </c>
      <c r="J372">
        <v>42</v>
      </c>
      <c r="K372">
        <v>4.53</v>
      </c>
      <c r="L372">
        <v>0.16</v>
      </c>
      <c r="M372" t="s">
        <v>37</v>
      </c>
      <c r="N372" t="s">
        <v>39</v>
      </c>
      <c r="O372">
        <v>5</v>
      </c>
      <c r="P372">
        <v>3.6</v>
      </c>
      <c r="Q372">
        <v>159.8184</v>
      </c>
    </row>
    <row r="373" spans="1:17" x14ac:dyDescent="0.25">
      <c r="A373">
        <v>1372</v>
      </c>
      <c r="B373" s="3">
        <v>45298</v>
      </c>
      <c r="C373" s="3" t="str">
        <f>TEXT(Fruits_Vendor[[#This Row],[Order_Date]],"mmmm")</f>
        <v>January</v>
      </c>
      <c r="D373" s="3" t="str">
        <f>TEXT(Fruits_Vendor[[#This Row],[Order_Date]],"yyyy")</f>
        <v>2024</v>
      </c>
      <c r="E373">
        <v>2651</v>
      </c>
      <c r="F373" t="s">
        <v>17</v>
      </c>
      <c r="G373" t="s">
        <v>21</v>
      </c>
      <c r="H373" t="s">
        <v>25</v>
      </c>
      <c r="I373" t="s">
        <v>33</v>
      </c>
      <c r="J373">
        <v>8</v>
      </c>
      <c r="K373">
        <v>1.95</v>
      </c>
      <c r="L373">
        <v>0.01</v>
      </c>
      <c r="M373" t="s">
        <v>36</v>
      </c>
      <c r="N373" t="s">
        <v>40</v>
      </c>
      <c r="O373">
        <v>1</v>
      </c>
      <c r="P373">
        <v>3.6</v>
      </c>
      <c r="Q373">
        <v>15.444000000000001</v>
      </c>
    </row>
    <row r="374" spans="1:17" x14ac:dyDescent="0.25">
      <c r="A374">
        <v>1373</v>
      </c>
      <c r="B374" s="3">
        <v>45299</v>
      </c>
      <c r="C374" s="3" t="str">
        <f>TEXT(Fruits_Vendor[[#This Row],[Order_Date]],"mmmm")</f>
        <v>January</v>
      </c>
      <c r="D374" s="3" t="str">
        <f>TEXT(Fruits_Vendor[[#This Row],[Order_Date]],"yyyy")</f>
        <v>2024</v>
      </c>
      <c r="E374">
        <v>2452</v>
      </c>
      <c r="F374" t="s">
        <v>15</v>
      </c>
      <c r="G374" t="s">
        <v>19</v>
      </c>
      <c r="H374" t="s">
        <v>27</v>
      </c>
      <c r="I374" t="s">
        <v>32</v>
      </c>
      <c r="J374">
        <v>21</v>
      </c>
      <c r="K374">
        <v>1.06</v>
      </c>
      <c r="L374">
        <v>0.05</v>
      </c>
      <c r="M374" t="s">
        <v>37</v>
      </c>
      <c r="N374" t="s">
        <v>38</v>
      </c>
      <c r="O374">
        <v>1</v>
      </c>
      <c r="P374">
        <v>4.9000000000000004</v>
      </c>
      <c r="Q374">
        <v>21.146999999999998</v>
      </c>
    </row>
    <row r="375" spans="1:17" x14ac:dyDescent="0.25">
      <c r="A375">
        <v>1374</v>
      </c>
      <c r="B375" s="3">
        <v>45300</v>
      </c>
      <c r="C375" s="3" t="str">
        <f>TEXT(Fruits_Vendor[[#This Row],[Order_Date]],"mmmm")</f>
        <v>January</v>
      </c>
      <c r="D375" s="3" t="str">
        <f>TEXT(Fruits_Vendor[[#This Row],[Order_Date]],"yyyy")</f>
        <v>2024</v>
      </c>
      <c r="E375">
        <v>2036</v>
      </c>
      <c r="F375" t="s">
        <v>16</v>
      </c>
      <c r="G375" t="s">
        <v>24</v>
      </c>
      <c r="H375" t="s">
        <v>28</v>
      </c>
      <c r="I375" t="s">
        <v>31</v>
      </c>
      <c r="J375">
        <v>1</v>
      </c>
      <c r="K375">
        <v>2.63</v>
      </c>
      <c r="L375">
        <v>0.15</v>
      </c>
      <c r="M375" t="s">
        <v>34</v>
      </c>
      <c r="N375" t="s">
        <v>40</v>
      </c>
      <c r="O375">
        <v>3</v>
      </c>
      <c r="P375">
        <v>3.6</v>
      </c>
      <c r="Q375">
        <v>2.2355</v>
      </c>
    </row>
    <row r="376" spans="1:17" x14ac:dyDescent="0.25">
      <c r="A376">
        <v>1375</v>
      </c>
      <c r="B376" s="3">
        <v>45301</v>
      </c>
      <c r="C376" s="3" t="str">
        <f>TEXT(Fruits_Vendor[[#This Row],[Order_Date]],"mmmm")</f>
        <v>January</v>
      </c>
      <c r="D376" s="3" t="str">
        <f>TEXT(Fruits_Vendor[[#This Row],[Order_Date]],"yyyy")</f>
        <v>2024</v>
      </c>
      <c r="E376">
        <v>2159</v>
      </c>
      <c r="F376" t="s">
        <v>18</v>
      </c>
      <c r="G376" t="s">
        <v>22</v>
      </c>
      <c r="H376" t="s">
        <v>27</v>
      </c>
      <c r="I376" t="s">
        <v>32</v>
      </c>
      <c r="J376">
        <v>8</v>
      </c>
      <c r="K376">
        <v>1.01</v>
      </c>
      <c r="L376">
        <v>0.12</v>
      </c>
      <c r="M376" t="s">
        <v>34</v>
      </c>
      <c r="N376" t="s">
        <v>38</v>
      </c>
      <c r="O376">
        <v>2</v>
      </c>
      <c r="P376">
        <v>3.9</v>
      </c>
      <c r="Q376">
        <v>7.1104000000000003</v>
      </c>
    </row>
    <row r="377" spans="1:17" x14ac:dyDescent="0.25">
      <c r="A377">
        <v>1376</v>
      </c>
      <c r="B377" s="3">
        <v>45302</v>
      </c>
      <c r="C377" s="3" t="str">
        <f>TEXT(Fruits_Vendor[[#This Row],[Order_Date]],"mmmm")</f>
        <v>January</v>
      </c>
      <c r="D377" s="3" t="str">
        <f>TEXT(Fruits_Vendor[[#This Row],[Order_Date]],"yyyy")</f>
        <v>2024</v>
      </c>
      <c r="E377">
        <v>2008</v>
      </c>
      <c r="F377" t="s">
        <v>18</v>
      </c>
      <c r="G377" t="s">
        <v>21</v>
      </c>
      <c r="H377" t="s">
        <v>30</v>
      </c>
      <c r="I377" t="s">
        <v>33</v>
      </c>
      <c r="J377">
        <v>29</v>
      </c>
      <c r="K377">
        <v>2.69</v>
      </c>
      <c r="L377">
        <v>0.01</v>
      </c>
      <c r="M377" t="s">
        <v>34</v>
      </c>
      <c r="N377" t="s">
        <v>40</v>
      </c>
      <c r="O377">
        <v>4</v>
      </c>
      <c r="P377">
        <v>3.8</v>
      </c>
      <c r="Q377">
        <v>77.229900000000001</v>
      </c>
    </row>
    <row r="378" spans="1:17" x14ac:dyDescent="0.25">
      <c r="A378">
        <v>1377</v>
      </c>
      <c r="B378" s="3">
        <v>45303</v>
      </c>
      <c r="C378" s="3" t="str">
        <f>TEXT(Fruits_Vendor[[#This Row],[Order_Date]],"mmmm")</f>
        <v>January</v>
      </c>
      <c r="D378" s="3" t="str">
        <f>TEXT(Fruits_Vendor[[#This Row],[Order_Date]],"yyyy")</f>
        <v>2024</v>
      </c>
      <c r="E378">
        <v>2232</v>
      </c>
      <c r="F378" t="s">
        <v>16</v>
      </c>
      <c r="G378" t="s">
        <v>20</v>
      </c>
      <c r="H378" t="s">
        <v>26</v>
      </c>
      <c r="I378" t="s">
        <v>31</v>
      </c>
      <c r="J378">
        <v>32</v>
      </c>
      <c r="K378">
        <v>4.6399999999999997</v>
      </c>
      <c r="L378">
        <v>0.18</v>
      </c>
      <c r="M378" t="s">
        <v>34</v>
      </c>
      <c r="N378" t="s">
        <v>39</v>
      </c>
      <c r="O378">
        <v>4</v>
      </c>
      <c r="P378">
        <v>4.0999999999999996</v>
      </c>
      <c r="Q378">
        <v>121.75360000000001</v>
      </c>
    </row>
    <row r="379" spans="1:17" x14ac:dyDescent="0.25">
      <c r="A379">
        <v>1378</v>
      </c>
      <c r="B379" s="3">
        <v>45304</v>
      </c>
      <c r="C379" s="3" t="str">
        <f>TEXT(Fruits_Vendor[[#This Row],[Order_Date]],"mmmm")</f>
        <v>January</v>
      </c>
      <c r="D379" s="3" t="str">
        <f>TEXT(Fruits_Vendor[[#This Row],[Order_Date]],"yyyy")</f>
        <v>2024</v>
      </c>
      <c r="E379">
        <v>2098</v>
      </c>
      <c r="F379" t="s">
        <v>17</v>
      </c>
      <c r="G379" t="s">
        <v>24</v>
      </c>
      <c r="H379" t="s">
        <v>27</v>
      </c>
      <c r="I379" t="s">
        <v>31</v>
      </c>
      <c r="J379">
        <v>38</v>
      </c>
      <c r="K379">
        <v>2.84</v>
      </c>
      <c r="L379">
        <v>0.18</v>
      </c>
      <c r="M379" t="s">
        <v>36</v>
      </c>
      <c r="N379" t="s">
        <v>38</v>
      </c>
      <c r="O379">
        <v>2</v>
      </c>
      <c r="P379">
        <v>4.4000000000000004</v>
      </c>
      <c r="Q379">
        <v>88.494399999999999</v>
      </c>
    </row>
    <row r="380" spans="1:17" x14ac:dyDescent="0.25">
      <c r="A380">
        <v>1379</v>
      </c>
      <c r="B380" s="3">
        <v>45305</v>
      </c>
      <c r="C380" s="3" t="str">
        <f>TEXT(Fruits_Vendor[[#This Row],[Order_Date]],"mmmm")</f>
        <v>January</v>
      </c>
      <c r="D380" s="3" t="str">
        <f>TEXT(Fruits_Vendor[[#This Row],[Order_Date]],"yyyy")</f>
        <v>2024</v>
      </c>
      <c r="E380">
        <v>2658</v>
      </c>
      <c r="F380" t="s">
        <v>18</v>
      </c>
      <c r="G380" t="s">
        <v>19</v>
      </c>
      <c r="H380" t="s">
        <v>29</v>
      </c>
      <c r="I380" t="s">
        <v>31</v>
      </c>
      <c r="J380">
        <v>5</v>
      </c>
      <c r="K380">
        <v>3.27</v>
      </c>
      <c r="L380">
        <v>7.0000000000000007E-2</v>
      </c>
      <c r="M380" t="s">
        <v>36</v>
      </c>
      <c r="N380" t="s">
        <v>38</v>
      </c>
      <c r="O380">
        <v>1</v>
      </c>
      <c r="P380">
        <v>3.1</v>
      </c>
      <c r="Q380">
        <v>15.205500000000001</v>
      </c>
    </row>
    <row r="381" spans="1:17" x14ac:dyDescent="0.25">
      <c r="A381">
        <v>1380</v>
      </c>
      <c r="B381" s="3">
        <v>45306</v>
      </c>
      <c r="C381" s="3" t="str">
        <f>TEXT(Fruits_Vendor[[#This Row],[Order_Date]],"mmmm")</f>
        <v>January</v>
      </c>
      <c r="D381" s="3" t="str">
        <f>TEXT(Fruits_Vendor[[#This Row],[Order_Date]],"yyyy")</f>
        <v>2024</v>
      </c>
      <c r="E381">
        <v>2815</v>
      </c>
      <c r="F381" t="s">
        <v>15</v>
      </c>
      <c r="G381" t="s">
        <v>23</v>
      </c>
      <c r="H381" t="s">
        <v>30</v>
      </c>
      <c r="I381" t="s">
        <v>33</v>
      </c>
      <c r="J381">
        <v>47</v>
      </c>
      <c r="K381">
        <v>1.2</v>
      </c>
      <c r="L381">
        <v>7.0000000000000007E-2</v>
      </c>
      <c r="M381" t="s">
        <v>35</v>
      </c>
      <c r="N381" t="s">
        <v>38</v>
      </c>
      <c r="O381">
        <v>3</v>
      </c>
      <c r="P381">
        <v>3.8</v>
      </c>
      <c r="Q381">
        <v>52.451999999999998</v>
      </c>
    </row>
    <row r="382" spans="1:17" x14ac:dyDescent="0.25">
      <c r="A382">
        <v>1381</v>
      </c>
      <c r="B382" s="3">
        <v>45307</v>
      </c>
      <c r="C382" s="3" t="str">
        <f>TEXT(Fruits_Vendor[[#This Row],[Order_Date]],"mmmm")</f>
        <v>January</v>
      </c>
      <c r="D382" s="3" t="str">
        <f>TEXT(Fruits_Vendor[[#This Row],[Order_Date]],"yyyy")</f>
        <v>2024</v>
      </c>
      <c r="E382">
        <v>2207</v>
      </c>
      <c r="F382" t="s">
        <v>18</v>
      </c>
      <c r="G382" t="s">
        <v>24</v>
      </c>
      <c r="H382" t="s">
        <v>26</v>
      </c>
      <c r="I382" t="s">
        <v>32</v>
      </c>
      <c r="J382">
        <v>22</v>
      </c>
      <c r="K382">
        <v>0.7</v>
      </c>
      <c r="L382">
        <v>0.2</v>
      </c>
      <c r="M382" t="s">
        <v>37</v>
      </c>
      <c r="N382" t="s">
        <v>39</v>
      </c>
      <c r="O382">
        <v>3</v>
      </c>
      <c r="P382">
        <v>4.5999999999999996</v>
      </c>
      <c r="Q382">
        <v>12.32</v>
      </c>
    </row>
    <row r="383" spans="1:17" x14ac:dyDescent="0.25">
      <c r="A383">
        <v>1382</v>
      </c>
      <c r="B383" s="3">
        <v>45308</v>
      </c>
      <c r="C383" s="3" t="str">
        <f>TEXT(Fruits_Vendor[[#This Row],[Order_Date]],"mmmm")</f>
        <v>January</v>
      </c>
      <c r="D383" s="3" t="str">
        <f>TEXT(Fruits_Vendor[[#This Row],[Order_Date]],"yyyy")</f>
        <v>2024</v>
      </c>
      <c r="E383">
        <v>2130</v>
      </c>
      <c r="F383" t="s">
        <v>15</v>
      </c>
      <c r="G383" t="s">
        <v>21</v>
      </c>
      <c r="H383" t="s">
        <v>28</v>
      </c>
      <c r="I383" t="s">
        <v>31</v>
      </c>
      <c r="J383">
        <v>47</v>
      </c>
      <c r="K383">
        <v>1</v>
      </c>
      <c r="L383">
        <v>0.13</v>
      </c>
      <c r="M383" t="s">
        <v>34</v>
      </c>
      <c r="N383" t="s">
        <v>40</v>
      </c>
      <c r="O383">
        <v>4</v>
      </c>
      <c r="P383">
        <v>3.7</v>
      </c>
      <c r="Q383">
        <v>40.89</v>
      </c>
    </row>
    <row r="384" spans="1:17" x14ac:dyDescent="0.25">
      <c r="A384">
        <v>1383</v>
      </c>
      <c r="B384" s="3">
        <v>45309</v>
      </c>
      <c r="C384" s="3" t="str">
        <f>TEXT(Fruits_Vendor[[#This Row],[Order_Date]],"mmmm")</f>
        <v>January</v>
      </c>
      <c r="D384" s="3" t="str">
        <f>TEXT(Fruits_Vendor[[#This Row],[Order_Date]],"yyyy")</f>
        <v>2024</v>
      </c>
      <c r="E384">
        <v>2403</v>
      </c>
      <c r="F384" t="s">
        <v>16</v>
      </c>
      <c r="G384" t="s">
        <v>19</v>
      </c>
      <c r="H384" t="s">
        <v>26</v>
      </c>
      <c r="I384" t="s">
        <v>33</v>
      </c>
      <c r="J384">
        <v>34</v>
      </c>
      <c r="K384">
        <v>3.19</v>
      </c>
      <c r="L384">
        <v>0.11</v>
      </c>
      <c r="M384" t="s">
        <v>36</v>
      </c>
      <c r="N384" t="s">
        <v>39</v>
      </c>
      <c r="O384">
        <v>3</v>
      </c>
      <c r="P384">
        <v>3.2</v>
      </c>
      <c r="Q384">
        <v>96.529399999999995</v>
      </c>
    </row>
    <row r="385" spans="1:17" x14ac:dyDescent="0.25">
      <c r="A385">
        <v>1384</v>
      </c>
      <c r="B385" s="3">
        <v>45310</v>
      </c>
      <c r="C385" s="3" t="str">
        <f>TEXT(Fruits_Vendor[[#This Row],[Order_Date]],"mmmm")</f>
        <v>January</v>
      </c>
      <c r="D385" s="3" t="str">
        <f>TEXT(Fruits_Vendor[[#This Row],[Order_Date]],"yyyy")</f>
        <v>2024</v>
      </c>
      <c r="E385">
        <v>2151</v>
      </c>
      <c r="F385" t="s">
        <v>15</v>
      </c>
      <c r="G385" t="s">
        <v>22</v>
      </c>
      <c r="H385" t="s">
        <v>29</v>
      </c>
      <c r="I385" t="s">
        <v>32</v>
      </c>
      <c r="J385">
        <v>1</v>
      </c>
      <c r="K385">
        <v>0.93</v>
      </c>
      <c r="L385">
        <v>0.17</v>
      </c>
      <c r="M385" t="s">
        <v>37</v>
      </c>
      <c r="N385" t="s">
        <v>38</v>
      </c>
      <c r="O385">
        <v>6</v>
      </c>
      <c r="P385">
        <v>4.0999999999999996</v>
      </c>
      <c r="Q385">
        <v>0.77190000000000003</v>
      </c>
    </row>
    <row r="386" spans="1:17" x14ac:dyDescent="0.25">
      <c r="A386">
        <v>1385</v>
      </c>
      <c r="B386" s="3">
        <v>45311</v>
      </c>
      <c r="C386" s="3" t="str">
        <f>TEXT(Fruits_Vendor[[#This Row],[Order_Date]],"mmmm")</f>
        <v>January</v>
      </c>
      <c r="D386" s="3" t="str">
        <f>TEXT(Fruits_Vendor[[#This Row],[Order_Date]],"yyyy")</f>
        <v>2024</v>
      </c>
      <c r="E386">
        <v>2053</v>
      </c>
      <c r="F386" t="s">
        <v>16</v>
      </c>
      <c r="G386" t="s">
        <v>24</v>
      </c>
      <c r="H386" t="s">
        <v>30</v>
      </c>
      <c r="I386" t="s">
        <v>33</v>
      </c>
      <c r="J386">
        <v>26</v>
      </c>
      <c r="K386">
        <v>2.19</v>
      </c>
      <c r="L386">
        <v>0.06</v>
      </c>
      <c r="M386" t="s">
        <v>37</v>
      </c>
      <c r="N386" t="s">
        <v>40</v>
      </c>
      <c r="O386">
        <v>2</v>
      </c>
      <c r="P386">
        <v>4.5999999999999996</v>
      </c>
      <c r="Q386">
        <v>53.523599999999988</v>
      </c>
    </row>
    <row r="387" spans="1:17" x14ac:dyDescent="0.25">
      <c r="A387">
        <v>1386</v>
      </c>
      <c r="B387" s="3">
        <v>45312</v>
      </c>
      <c r="C387" s="3" t="str">
        <f>TEXT(Fruits_Vendor[[#This Row],[Order_Date]],"mmmm")</f>
        <v>January</v>
      </c>
      <c r="D387" s="3" t="str">
        <f>TEXT(Fruits_Vendor[[#This Row],[Order_Date]],"yyyy")</f>
        <v>2024</v>
      </c>
      <c r="E387">
        <v>2119</v>
      </c>
      <c r="F387" t="s">
        <v>15</v>
      </c>
      <c r="G387" t="s">
        <v>21</v>
      </c>
      <c r="H387" t="s">
        <v>28</v>
      </c>
      <c r="I387" t="s">
        <v>32</v>
      </c>
      <c r="J387">
        <v>43</v>
      </c>
      <c r="K387">
        <v>2.98</v>
      </c>
      <c r="L387">
        <v>0.09</v>
      </c>
      <c r="M387" t="s">
        <v>36</v>
      </c>
      <c r="N387" t="s">
        <v>39</v>
      </c>
      <c r="O387">
        <v>1</v>
      </c>
      <c r="P387">
        <v>2.7</v>
      </c>
      <c r="Q387">
        <v>116.6074</v>
      </c>
    </row>
    <row r="388" spans="1:17" x14ac:dyDescent="0.25">
      <c r="A388">
        <v>1387</v>
      </c>
      <c r="B388" s="3">
        <v>45313</v>
      </c>
      <c r="C388" s="3" t="str">
        <f>TEXT(Fruits_Vendor[[#This Row],[Order_Date]],"mmmm")</f>
        <v>January</v>
      </c>
      <c r="D388" s="3" t="str">
        <f>TEXT(Fruits_Vendor[[#This Row],[Order_Date]],"yyyy")</f>
        <v>2024</v>
      </c>
      <c r="E388">
        <v>2672</v>
      </c>
      <c r="F388" t="s">
        <v>16</v>
      </c>
      <c r="G388" t="s">
        <v>20</v>
      </c>
      <c r="H388" t="s">
        <v>29</v>
      </c>
      <c r="I388" t="s">
        <v>33</v>
      </c>
      <c r="J388">
        <v>10</v>
      </c>
      <c r="K388">
        <v>2.25</v>
      </c>
      <c r="L388">
        <v>0.05</v>
      </c>
      <c r="M388" t="s">
        <v>34</v>
      </c>
      <c r="N388" t="s">
        <v>38</v>
      </c>
      <c r="O388">
        <v>6</v>
      </c>
      <c r="P388">
        <v>4.4000000000000004</v>
      </c>
      <c r="Q388">
        <v>21.375</v>
      </c>
    </row>
    <row r="389" spans="1:17" x14ac:dyDescent="0.25">
      <c r="A389">
        <v>1388</v>
      </c>
      <c r="B389" s="3">
        <v>45314</v>
      </c>
      <c r="C389" s="3" t="str">
        <f>TEXT(Fruits_Vendor[[#This Row],[Order_Date]],"mmmm")</f>
        <v>January</v>
      </c>
      <c r="D389" s="3" t="str">
        <f>TEXT(Fruits_Vendor[[#This Row],[Order_Date]],"yyyy")</f>
        <v>2024</v>
      </c>
      <c r="E389">
        <v>2919</v>
      </c>
      <c r="F389" t="s">
        <v>15</v>
      </c>
      <c r="G389" t="s">
        <v>23</v>
      </c>
      <c r="H389" t="s">
        <v>26</v>
      </c>
      <c r="I389" t="s">
        <v>32</v>
      </c>
      <c r="J389">
        <v>30</v>
      </c>
      <c r="K389">
        <v>1.24</v>
      </c>
      <c r="L389">
        <v>0.16</v>
      </c>
      <c r="M389" t="s">
        <v>35</v>
      </c>
      <c r="N389" t="s">
        <v>38</v>
      </c>
      <c r="O389">
        <v>2</v>
      </c>
      <c r="P389">
        <v>4.5999999999999996</v>
      </c>
      <c r="Q389">
        <v>31.248000000000001</v>
      </c>
    </row>
    <row r="390" spans="1:17" x14ac:dyDescent="0.25">
      <c r="A390">
        <v>1389</v>
      </c>
      <c r="B390" s="3">
        <v>45315</v>
      </c>
      <c r="C390" s="3" t="str">
        <f>TEXT(Fruits_Vendor[[#This Row],[Order_Date]],"mmmm")</f>
        <v>January</v>
      </c>
      <c r="D390" s="3" t="str">
        <f>TEXT(Fruits_Vendor[[#This Row],[Order_Date]],"yyyy")</f>
        <v>2024</v>
      </c>
      <c r="E390">
        <v>2627</v>
      </c>
      <c r="F390" t="s">
        <v>17</v>
      </c>
      <c r="G390" t="s">
        <v>19</v>
      </c>
      <c r="H390" t="s">
        <v>29</v>
      </c>
      <c r="I390" t="s">
        <v>31</v>
      </c>
      <c r="J390">
        <v>18</v>
      </c>
      <c r="K390">
        <v>1.73</v>
      </c>
      <c r="L390">
        <v>0.11</v>
      </c>
      <c r="M390" t="s">
        <v>37</v>
      </c>
      <c r="N390" t="s">
        <v>39</v>
      </c>
      <c r="O390">
        <v>5</v>
      </c>
      <c r="P390">
        <v>3.7</v>
      </c>
      <c r="Q390">
        <v>27.714600000000001</v>
      </c>
    </row>
    <row r="391" spans="1:17" x14ac:dyDescent="0.25">
      <c r="A391">
        <v>1390</v>
      </c>
      <c r="B391" s="3">
        <v>45316</v>
      </c>
      <c r="C391" s="3" t="str">
        <f>TEXT(Fruits_Vendor[[#This Row],[Order_Date]],"mmmm")</f>
        <v>January</v>
      </c>
      <c r="D391" s="3" t="str">
        <f>TEXT(Fruits_Vendor[[#This Row],[Order_Date]],"yyyy")</f>
        <v>2024</v>
      </c>
      <c r="E391">
        <v>2586</v>
      </c>
      <c r="F391" t="s">
        <v>15</v>
      </c>
      <c r="G391" t="s">
        <v>24</v>
      </c>
      <c r="H391" t="s">
        <v>30</v>
      </c>
      <c r="I391" t="s">
        <v>32</v>
      </c>
      <c r="J391">
        <v>17</v>
      </c>
      <c r="K391">
        <v>4.68</v>
      </c>
      <c r="L391">
        <v>0.13</v>
      </c>
      <c r="M391" t="s">
        <v>35</v>
      </c>
      <c r="N391" t="s">
        <v>39</v>
      </c>
      <c r="O391">
        <v>4</v>
      </c>
      <c r="P391">
        <v>5</v>
      </c>
      <c r="Q391">
        <v>69.217200000000005</v>
      </c>
    </row>
    <row r="392" spans="1:17" x14ac:dyDescent="0.25">
      <c r="A392">
        <v>1391</v>
      </c>
      <c r="B392" s="3">
        <v>45317</v>
      </c>
      <c r="C392" s="3" t="str">
        <f>TEXT(Fruits_Vendor[[#This Row],[Order_Date]],"mmmm")</f>
        <v>January</v>
      </c>
      <c r="D392" s="3" t="str">
        <f>TEXT(Fruits_Vendor[[#This Row],[Order_Date]],"yyyy")</f>
        <v>2024</v>
      </c>
      <c r="E392">
        <v>2624</v>
      </c>
      <c r="F392" t="s">
        <v>15</v>
      </c>
      <c r="G392" t="s">
        <v>24</v>
      </c>
      <c r="H392" t="s">
        <v>25</v>
      </c>
      <c r="I392" t="s">
        <v>33</v>
      </c>
      <c r="J392">
        <v>26</v>
      </c>
      <c r="K392">
        <v>3.54</v>
      </c>
      <c r="L392">
        <v>0.05</v>
      </c>
      <c r="M392" t="s">
        <v>34</v>
      </c>
      <c r="N392" t="s">
        <v>39</v>
      </c>
      <c r="O392">
        <v>3</v>
      </c>
      <c r="P392">
        <v>4.5</v>
      </c>
      <c r="Q392">
        <v>87.438000000000002</v>
      </c>
    </row>
    <row r="393" spans="1:17" x14ac:dyDescent="0.25">
      <c r="A393">
        <v>1392</v>
      </c>
      <c r="B393" s="3">
        <v>45318</v>
      </c>
      <c r="C393" s="3" t="str">
        <f>TEXT(Fruits_Vendor[[#This Row],[Order_Date]],"mmmm")</f>
        <v>January</v>
      </c>
      <c r="D393" s="3" t="str">
        <f>TEXT(Fruits_Vendor[[#This Row],[Order_Date]],"yyyy")</f>
        <v>2024</v>
      </c>
      <c r="E393">
        <v>2967</v>
      </c>
      <c r="F393" t="s">
        <v>17</v>
      </c>
      <c r="G393" t="s">
        <v>22</v>
      </c>
      <c r="H393" t="s">
        <v>29</v>
      </c>
      <c r="I393" t="s">
        <v>33</v>
      </c>
      <c r="J393">
        <v>8</v>
      </c>
      <c r="K393">
        <v>2.73</v>
      </c>
      <c r="L393">
        <v>0.04</v>
      </c>
      <c r="M393" t="s">
        <v>34</v>
      </c>
      <c r="N393" t="s">
        <v>38</v>
      </c>
      <c r="O393">
        <v>5</v>
      </c>
      <c r="P393">
        <v>4.4000000000000004</v>
      </c>
      <c r="Q393">
        <v>20.9664</v>
      </c>
    </row>
    <row r="394" spans="1:17" x14ac:dyDescent="0.25">
      <c r="A394">
        <v>1393</v>
      </c>
      <c r="B394" s="3">
        <v>45319</v>
      </c>
      <c r="C394" s="3" t="str">
        <f>TEXT(Fruits_Vendor[[#This Row],[Order_Date]],"mmmm")</f>
        <v>January</v>
      </c>
      <c r="D394" s="3" t="str">
        <f>TEXT(Fruits_Vendor[[#This Row],[Order_Date]],"yyyy")</f>
        <v>2024</v>
      </c>
      <c r="E394">
        <v>2419</v>
      </c>
      <c r="F394" t="s">
        <v>18</v>
      </c>
      <c r="G394" t="s">
        <v>22</v>
      </c>
      <c r="H394" t="s">
        <v>29</v>
      </c>
      <c r="I394" t="s">
        <v>32</v>
      </c>
      <c r="J394">
        <v>47</v>
      </c>
      <c r="K394">
        <v>0.56000000000000005</v>
      </c>
      <c r="L394">
        <v>0.1</v>
      </c>
      <c r="M394" t="s">
        <v>35</v>
      </c>
      <c r="N394" t="s">
        <v>39</v>
      </c>
      <c r="O394">
        <v>3</v>
      </c>
      <c r="P394">
        <v>4.4000000000000004</v>
      </c>
      <c r="Q394">
        <v>23.687999999999999</v>
      </c>
    </row>
    <row r="395" spans="1:17" x14ac:dyDescent="0.25">
      <c r="A395">
        <v>1394</v>
      </c>
      <c r="B395" s="3">
        <v>45320</v>
      </c>
      <c r="C395" s="3" t="str">
        <f>TEXT(Fruits_Vendor[[#This Row],[Order_Date]],"mmmm")</f>
        <v>January</v>
      </c>
      <c r="D395" s="3" t="str">
        <f>TEXT(Fruits_Vendor[[#This Row],[Order_Date]],"yyyy")</f>
        <v>2024</v>
      </c>
      <c r="E395">
        <v>2421</v>
      </c>
      <c r="F395" t="s">
        <v>18</v>
      </c>
      <c r="G395" t="s">
        <v>20</v>
      </c>
      <c r="H395" t="s">
        <v>26</v>
      </c>
      <c r="I395" t="s">
        <v>31</v>
      </c>
      <c r="J395">
        <v>40</v>
      </c>
      <c r="K395">
        <v>4.97</v>
      </c>
      <c r="L395">
        <v>0.15</v>
      </c>
      <c r="M395" t="s">
        <v>34</v>
      </c>
      <c r="N395" t="s">
        <v>38</v>
      </c>
      <c r="O395">
        <v>6</v>
      </c>
      <c r="P395">
        <v>2.9</v>
      </c>
      <c r="Q395">
        <v>168.98</v>
      </c>
    </row>
    <row r="396" spans="1:17" x14ac:dyDescent="0.25">
      <c r="A396">
        <v>1395</v>
      </c>
      <c r="B396" s="3">
        <v>45321</v>
      </c>
      <c r="C396" s="3" t="str">
        <f>TEXT(Fruits_Vendor[[#This Row],[Order_Date]],"mmmm")</f>
        <v>January</v>
      </c>
      <c r="D396" s="3" t="str">
        <f>TEXT(Fruits_Vendor[[#This Row],[Order_Date]],"yyyy")</f>
        <v>2024</v>
      </c>
      <c r="E396">
        <v>2103</v>
      </c>
      <c r="F396" t="s">
        <v>15</v>
      </c>
      <c r="G396" t="s">
        <v>23</v>
      </c>
      <c r="H396" t="s">
        <v>26</v>
      </c>
      <c r="I396" t="s">
        <v>31</v>
      </c>
      <c r="J396">
        <v>49</v>
      </c>
      <c r="K396">
        <v>3.52</v>
      </c>
      <c r="L396">
        <v>0.11</v>
      </c>
      <c r="M396" t="s">
        <v>37</v>
      </c>
      <c r="N396" t="s">
        <v>39</v>
      </c>
      <c r="O396">
        <v>1</v>
      </c>
      <c r="P396">
        <v>3</v>
      </c>
      <c r="Q396">
        <v>153.50720000000001</v>
      </c>
    </row>
    <row r="397" spans="1:17" x14ac:dyDescent="0.25">
      <c r="A397">
        <v>1396</v>
      </c>
      <c r="B397" s="3">
        <v>45322</v>
      </c>
      <c r="C397" s="3" t="str">
        <f>TEXT(Fruits_Vendor[[#This Row],[Order_Date]],"mmmm")</f>
        <v>January</v>
      </c>
      <c r="D397" s="3" t="str">
        <f>TEXT(Fruits_Vendor[[#This Row],[Order_Date]],"yyyy")</f>
        <v>2024</v>
      </c>
      <c r="E397">
        <v>2851</v>
      </c>
      <c r="F397" t="s">
        <v>17</v>
      </c>
      <c r="G397" t="s">
        <v>20</v>
      </c>
      <c r="H397" t="s">
        <v>28</v>
      </c>
      <c r="I397" t="s">
        <v>32</v>
      </c>
      <c r="J397">
        <v>12</v>
      </c>
      <c r="K397">
        <v>1.93</v>
      </c>
      <c r="L397">
        <v>0.01</v>
      </c>
      <c r="M397" t="s">
        <v>35</v>
      </c>
      <c r="N397" t="s">
        <v>38</v>
      </c>
      <c r="O397">
        <v>1</v>
      </c>
      <c r="P397">
        <v>3.7</v>
      </c>
      <c r="Q397">
        <v>22.9284</v>
      </c>
    </row>
    <row r="398" spans="1:17" x14ac:dyDescent="0.25">
      <c r="A398">
        <v>1397</v>
      </c>
      <c r="B398" s="3">
        <v>45323</v>
      </c>
      <c r="C398" s="3" t="str">
        <f>TEXT(Fruits_Vendor[[#This Row],[Order_Date]],"mmmm")</f>
        <v>February</v>
      </c>
      <c r="D398" s="3" t="str">
        <f>TEXT(Fruits_Vendor[[#This Row],[Order_Date]],"yyyy")</f>
        <v>2024</v>
      </c>
      <c r="E398">
        <v>2253</v>
      </c>
      <c r="F398" t="s">
        <v>15</v>
      </c>
      <c r="G398" t="s">
        <v>21</v>
      </c>
      <c r="H398" t="s">
        <v>26</v>
      </c>
      <c r="I398" t="s">
        <v>32</v>
      </c>
      <c r="J398">
        <v>27</v>
      </c>
      <c r="K398">
        <v>4.46</v>
      </c>
      <c r="L398">
        <v>0.17</v>
      </c>
      <c r="M398" t="s">
        <v>34</v>
      </c>
      <c r="N398" t="s">
        <v>38</v>
      </c>
      <c r="O398">
        <v>1</v>
      </c>
      <c r="P398">
        <v>3.2</v>
      </c>
      <c r="Q398">
        <v>99.948599999999999</v>
      </c>
    </row>
    <row r="399" spans="1:17" x14ac:dyDescent="0.25">
      <c r="A399">
        <v>1398</v>
      </c>
      <c r="B399" s="3">
        <v>45324</v>
      </c>
      <c r="C399" s="3" t="str">
        <f>TEXT(Fruits_Vendor[[#This Row],[Order_Date]],"mmmm")</f>
        <v>February</v>
      </c>
      <c r="D399" s="3" t="str">
        <f>TEXT(Fruits_Vendor[[#This Row],[Order_Date]],"yyyy")</f>
        <v>2024</v>
      </c>
      <c r="E399">
        <v>2226</v>
      </c>
      <c r="F399" t="s">
        <v>16</v>
      </c>
      <c r="G399" t="s">
        <v>21</v>
      </c>
      <c r="H399" t="s">
        <v>27</v>
      </c>
      <c r="I399" t="s">
        <v>33</v>
      </c>
      <c r="J399">
        <v>8</v>
      </c>
      <c r="K399">
        <v>1.66</v>
      </c>
      <c r="L399">
        <v>0.01</v>
      </c>
      <c r="M399" t="s">
        <v>35</v>
      </c>
      <c r="N399" t="s">
        <v>40</v>
      </c>
      <c r="O399">
        <v>3</v>
      </c>
      <c r="P399">
        <v>3.5</v>
      </c>
      <c r="Q399">
        <v>13.1472</v>
      </c>
    </row>
    <row r="400" spans="1:17" x14ac:dyDescent="0.25">
      <c r="A400">
        <v>1399</v>
      </c>
      <c r="B400" s="3">
        <v>45325</v>
      </c>
      <c r="C400" s="3" t="str">
        <f>TEXT(Fruits_Vendor[[#This Row],[Order_Date]],"mmmm")</f>
        <v>February</v>
      </c>
      <c r="D400" s="3" t="str">
        <f>TEXT(Fruits_Vendor[[#This Row],[Order_Date]],"yyyy")</f>
        <v>2024</v>
      </c>
      <c r="E400">
        <v>2111</v>
      </c>
      <c r="F400" t="s">
        <v>16</v>
      </c>
      <c r="G400" t="s">
        <v>20</v>
      </c>
      <c r="H400" t="s">
        <v>30</v>
      </c>
      <c r="I400" t="s">
        <v>31</v>
      </c>
      <c r="J400">
        <v>25</v>
      </c>
      <c r="K400">
        <v>2.95</v>
      </c>
      <c r="L400">
        <v>0.19</v>
      </c>
      <c r="M400" t="s">
        <v>37</v>
      </c>
      <c r="N400" t="s">
        <v>39</v>
      </c>
      <c r="O400">
        <v>5</v>
      </c>
      <c r="P400">
        <v>4.7</v>
      </c>
      <c r="Q400">
        <v>59.737499999999997</v>
      </c>
    </row>
    <row r="401" spans="1:17" x14ac:dyDescent="0.25">
      <c r="A401">
        <v>1400</v>
      </c>
      <c r="B401" s="3">
        <v>45326</v>
      </c>
      <c r="C401" s="3" t="str">
        <f>TEXT(Fruits_Vendor[[#This Row],[Order_Date]],"mmmm")</f>
        <v>February</v>
      </c>
      <c r="D401" s="3" t="str">
        <f>TEXT(Fruits_Vendor[[#This Row],[Order_Date]],"yyyy")</f>
        <v>2024</v>
      </c>
      <c r="E401">
        <v>2509</v>
      </c>
      <c r="F401" t="s">
        <v>15</v>
      </c>
      <c r="G401" t="s">
        <v>23</v>
      </c>
      <c r="H401" t="s">
        <v>30</v>
      </c>
      <c r="I401" t="s">
        <v>32</v>
      </c>
      <c r="J401">
        <v>46</v>
      </c>
      <c r="K401">
        <v>3.36</v>
      </c>
      <c r="L401">
        <v>0.01</v>
      </c>
      <c r="M401" t="s">
        <v>34</v>
      </c>
      <c r="N401" t="s">
        <v>39</v>
      </c>
      <c r="O401">
        <v>1</v>
      </c>
      <c r="P401">
        <v>4.5999999999999996</v>
      </c>
      <c r="Q401">
        <v>153.01439999999999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EDA_TABLES</vt:lpstr>
      <vt:lpstr>FRUITS_VENDOR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</cp:lastModifiedBy>
  <dcterms:created xsi:type="dcterms:W3CDTF">2026-04-14T05:12:42Z</dcterms:created>
  <dcterms:modified xsi:type="dcterms:W3CDTF">2026-04-14T06:42:59Z</dcterms:modified>
</cp:coreProperties>
</file>